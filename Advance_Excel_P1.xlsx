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4ebec5ce0bc27134/Documents/"/>
    </mc:Choice>
  </mc:AlternateContent>
  <xr:revisionPtr revIDLastSave="0" documentId="8_{9901A9AF-FB8C-4F2B-8F02-AED89A9783E2}" xr6:coauthVersionLast="47" xr6:coauthVersionMax="47" xr10:uidLastSave="{00000000-0000-0000-0000-000000000000}"/>
  <bookViews>
    <workbookView xWindow="-120" yWindow="-120" windowWidth="20730" windowHeight="11760" activeTab="2" xr2:uid="{D83E3581-2EAD-488E-B489-01EB334C0E3D}"/>
  </bookViews>
  <sheets>
    <sheet name="DATA" sheetId="1" r:id="rId1"/>
    <sheet name="Pivot Table" sheetId="2" r:id="rId2"/>
    <sheet name="DASHBOARD" sheetId="3" r:id="rId3"/>
    <sheet name="SELLER" sheetId="4" r:id="rId4"/>
  </sheets>
  <definedNames>
    <definedName name="_xlcn.WorksheetConnection_Book1Table11" hidden="1">Table1[]</definedName>
    <definedName name="Slicer_City">#N/A</definedName>
    <definedName name="Slicer_City1">#N/A</definedName>
    <definedName name="Slicer_Item">#N/A</definedName>
    <definedName name="Slicer_Item1">#N/A</definedName>
    <definedName name="Slicer_Seller">#N/A</definedName>
    <definedName name="Timeline_Date">#N/A</definedName>
    <definedName name="Timeline_Date1">#N/A</definedName>
  </definedNames>
  <calcPr calcId="191029"/>
  <pivotCaches>
    <pivotCache cacheId="1651" r:id="rId5"/>
    <pivotCache cacheId="1654" r:id="rId6"/>
    <pivotCache cacheId="1705" r:id="rId7"/>
    <pivotCache cacheId="1708" r:id="rId8"/>
    <pivotCache cacheId="1711" r:id="rId9"/>
    <pivotCache cacheId="1714" r:id="rId10"/>
  </pivotCaches>
  <extLst>
    <ext xmlns:x14="http://schemas.microsoft.com/office/spreadsheetml/2009/9/main" uri="{876F7934-8845-4945-9796-88D515C7AA90}">
      <x14:pivotCaches>
        <pivotCache cacheId="38" r:id="rId11"/>
        <pivotCache cacheId="777"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7" r:id="rId18"/>
        <pivotCache cacheId="844"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6" i="2" l="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159098-43D5-4738-BF11-9DE808B2C1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7DE90C9-7EC1-4EF1-9974-28325222EF8C}"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<sst xmlns="http://schemas.openxmlformats.org/spreadsheetml/2006/main" count="481" uniqueCount="31">
  <si>
    <t>S.N</t>
  </si>
  <si>
    <t>Seller</t>
  </si>
  <si>
    <t>City</t>
  </si>
  <si>
    <t>Date</t>
  </si>
  <si>
    <t>Item</t>
  </si>
  <si>
    <t>Qty</t>
  </si>
  <si>
    <t>Rate</t>
  </si>
  <si>
    <t>Total</t>
  </si>
  <si>
    <t>SHIVAM VERMA</t>
  </si>
  <si>
    <t>Sitapur</t>
  </si>
  <si>
    <t>Mouse</t>
  </si>
  <si>
    <t>Keyboard</t>
  </si>
  <si>
    <t>RAM</t>
  </si>
  <si>
    <t>SSD</t>
  </si>
  <si>
    <t>Mic</t>
  </si>
  <si>
    <t>M/B</t>
  </si>
  <si>
    <t>ADITYA KUMAR</t>
  </si>
  <si>
    <t>Lakhimpur</t>
  </si>
  <si>
    <t>RAM PRAVESH</t>
  </si>
  <si>
    <t>NITESH CHAURASIYA</t>
  </si>
  <si>
    <t>Lucknow</t>
  </si>
  <si>
    <t>GAJENDRA SINGH</t>
  </si>
  <si>
    <t>ABHISHEK DIXIT</t>
  </si>
  <si>
    <t>Grand Total</t>
  </si>
  <si>
    <t>Jan</t>
  </si>
  <si>
    <t>Feb</t>
  </si>
  <si>
    <t>Mar</t>
  </si>
  <si>
    <t>Apr</t>
  </si>
  <si>
    <t>Row Labels</t>
  </si>
  <si>
    <t>Sum of Total</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</si>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</sst>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cellXfs>
  <cellStyles count="1">
    <cellStyle name="Normal" xfId="0" builtinId="0"/>
  </cellStyles>
  <dxfs count="2">
    <dxf>
      <font>
        <b/>
        <i val="0"/>
        <strike val="0"/>
        <condense val="0"/>
        <extend val="0"/>
        <outline val="0"/>
        <shadow val="0"/>
        <u val="none"/>
        <vertAlign val="baseline"/>
        <sz val="11"/>
        <color theme="1"/>
        <name val="Calibri"/>
        <family val="2"/>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pivotCacheDefinition" Target="pivotCache/pivotCacheDefinition9.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5.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[Advance_Excel_P1.xlsx]Pivot Table!PivotTable1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 wise salse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5929550862218"/>
          <c:y val="0.17344483315440182"/>
          <c:w val="0.8200338509088233"/>
          <c:h val="0.66366392617361225"/>
        </c:manualLayout>
      </c:layout>
      <c:lineChart>
        <c:grouping val="standard"/>
        <c:varyColors val="0"/>
        <c:ser>
          <c:idx val="0"/>
          <c:order val="0"/>
          <c:tx>
            <c:strRef>
              <c:f>'Pivot Table'!$B$3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Table'!$A$4:$A$8</c:f>
              <c:strCache>
                <c:ptCount val="4"/>
                <c:pt idx="0">
                  <c:v>Jan</c:v>
                </c:pt>
                <c:pt idx="1">
                  <c:v>Feb</c:v>
                </c:pt>
                <c:pt idx="2">
                  <c:v>Mar</c:v>
                </c:pt>
                <c:pt idx="3">
                  <c:v>Apr</c:v>
                </c:pt>
              </c:strCache>
            </c:strRef>
          </c:cat>
          <c:val>
            <c:numRef>
              <c:f>'Pivot Table'!$B$4:$B$8</c:f>
              <c:numCache>
                <c:formatCode>General</c:formatCode>
                <c:ptCount val="4"/>
                <c:pt idx="0">
                  <c:v>1014550</c:v>
                </c:pt>
                <c:pt idx="1">
                  <c:v>926100</c:v>
                </c:pt>
                <c:pt idx="2">
                  <c:v>1108400</c:v>
                </c:pt>
                <c:pt idx="3">
                  <c:v>1038900</c:v>
                </c:pt>
              </c:numCache>
            </c:numRef>
          </c:val>
          <c:smooth val="0"/>
          <c:extLst>
            <c:ext xmlns:c16="http://schemas.microsoft.com/office/drawing/2014/chart" uri="{C3380CC4-5D6E-409C-BE32-E72D297353CC}">
              <c16:uniqueId val="{00000000-09C9-47DD-AA42-C8986C2BA4B3}"/>
            </c:ext>
          </c:extLst>
        </c:ser>
        <c:dLbls>
          <c:dLblPos val="ctr"/>
          <c:showLegendKey val="0"/>
          <c:showVal val="1"/>
          <c:showCatName val="0"/>
          <c:showSerName val="0"/>
          <c:showPercent val="0"/>
          <c:showBubbleSize val="0"/>
        </c:dLbls>
        <c:marker val="1"/>
        <c:smooth val="0"/>
        <c:axId val="576281631"/>
        <c:axId val="576282111"/>
      </c:lineChart>
      <c:catAx>
        <c:axId val="5762816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282111"/>
        <c:crosses val="autoZero"/>
        <c:auto val="1"/>
        <c:lblAlgn val="ctr"/>
        <c:lblOffset val="100"/>
        <c:noMultiLvlLbl val="0"/>
      </c:catAx>
      <c:valAx>
        <c:axId val="576282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28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[Advance_Excel_P1.xlsx]Pivot Table!PivotTable2</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City Wise Salse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lt1"/>
            </a:bgClr>
          </a:pattFill>
          <a:ln>
            <a:noFill/>
          </a:ln>
          <a:effectLst/>
        </c:spPr>
        <c:marker>
          <c:symbol val="circle"/>
          <c:size val="5"/>
          <c:spPr>
            <a:solidFill>
              <a:schemeClr val="dk1">
                <a:tint val="88500"/>
              </a:schemeClr>
            </a:solidFill>
            <a:ln w="22225">
              <a:solidFill>
                <a:schemeClr val="lt1"/>
              </a:solidFill>
              <a:round/>
            </a:ln>
            <a:effectLst/>
          </c:spPr>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pattFill prst="ltUpDiag">
              <a:fgClr>
                <a:schemeClr val="dk1">
                  <a:tint val="88500"/>
                </a:schemeClr>
              </a:fgClr>
              <a:bgClr>
                <a:schemeClr val="lt1"/>
              </a:bgClr>
            </a:pattFill>
            <a:ln>
              <a:noFill/>
            </a:ln>
            <a:effectLst/>
          </c:spPr>
          <c:invertIfNegative val="0"/>
          <c:dLbls>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Table'!$A$11:$A$14</c:f>
              <c:strCache>
                <c:ptCount val="3"/>
                <c:pt idx="0">
                  <c:v>Lakhimpur</c:v>
                </c:pt>
                <c:pt idx="1">
                  <c:v>Lucknow</c:v>
                </c:pt>
                <c:pt idx="2">
                  <c:v>Sitapur</c:v>
                </c:pt>
              </c:strCache>
            </c:strRef>
          </c:cat>
          <c:val>
            <c:numRef>
              <c:f>'Pivot Table'!$B$11:$B$14</c:f>
              <c:numCache>
                <c:formatCode>General</c:formatCode>
                <c:ptCount val="3"/>
                <c:pt idx="0">
                  <c:v>1203900</c:v>
                </c:pt>
                <c:pt idx="1">
                  <c:v>1340900</c:v>
                </c:pt>
                <c:pt idx="2">
                  <c:v>1543150</c:v>
                </c:pt>
              </c:numCache>
            </c:numRef>
          </c:val>
          <c:extLst>
            <c:ext xmlns:c16="http://schemas.microsoft.com/office/drawing/2014/chart" uri="{C3380CC4-5D6E-409C-BE32-E72D297353CC}">
              <c16:uniqueId val="{00000004-B0D7-4372-8E68-A809E5F5917C}"/>
            </c:ext>
          </c:extLst>
        </c:ser>
        <c:dLbls>
          <c:showLegendKey val="0"/>
          <c:showVal val="0"/>
          <c:showCatName val="0"/>
          <c:showSerName val="0"/>
          <c:showPercent val="0"/>
          <c:showBubbleSize val="0"/>
        </c:dLbls>
        <c:gapWidth val="269"/>
        <c:overlap val="-20"/>
        <c:axId val="872699711"/>
        <c:axId val="872701631"/>
      </c:barChart>
      <c:catAx>
        <c:axId val="87269971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72701631"/>
        <c:crosses val="autoZero"/>
        <c:auto val="1"/>
        <c:lblAlgn val="ctr"/>
        <c:lblOffset val="100"/>
        <c:noMultiLvlLbl val="0"/>
      </c:catAx>
      <c:valAx>
        <c:axId val="87270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269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[Advance_Excel_P1.xlsx]Pivot Table!PivotTable3</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Table'!$B$16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Table'!$A$17:$A$23</c:f>
              <c:strCache>
                <c:ptCount val="6"/>
                <c:pt idx="0">
                  <c:v>Keyboard</c:v>
                </c:pt>
                <c:pt idx="1">
                  <c:v>M/B</c:v>
                </c:pt>
                <c:pt idx="2">
                  <c:v>Mic</c:v>
                </c:pt>
                <c:pt idx="3">
                  <c:v>Mouse</c:v>
                </c:pt>
                <c:pt idx="4">
                  <c:v>RAM</c:v>
                </c:pt>
                <c:pt idx="5">
                  <c:v>SSD</c:v>
                </c:pt>
              </c:strCache>
            </c:strRef>
          </c:cat>
          <c:val>
            <c:numRef>
              <c:f>'Pivot Table'!$B$17:$B$23</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F-3267-4C78-88CB-97C338D1E2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[Advance_Excel_P1.xlsx]Pivot Table!PivotTable5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Item Wise Salse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Table'!$D$4:$D$10</c:f>
              <c:strCache>
                <c:ptCount val="6"/>
                <c:pt idx="0">
                  <c:v>Keyboard</c:v>
                </c:pt>
                <c:pt idx="1">
                  <c:v>M/B</c:v>
                </c:pt>
                <c:pt idx="2">
                  <c:v>Mic</c:v>
                </c:pt>
                <c:pt idx="3">
                  <c:v>Mouse</c:v>
                </c:pt>
                <c:pt idx="4">
                  <c:v>RAM</c:v>
                </c:pt>
                <c:pt idx="5">
                  <c:v>SSD</c:v>
                </c:pt>
              </c:strCache>
            </c:strRef>
          </c:cat>
          <c:val>
            <c:numRef>
              <c:f>'Pivot Table'!$E$4:$E$10</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3-FC79-4250-8D77-EE81FC47931C}"/>
            </c:ext>
          </c:extLst>
        </c:ser>
        <c:dLbls>
          <c:showLegendKey val="0"/>
          <c:showVal val="0"/>
          <c:showCatName val="0"/>
          <c:showSerName val="0"/>
          <c:showPercent val="0"/>
          <c:showBubbleSize val="0"/>
        </c:dLbls>
        <c:gapWidth val="100"/>
        <c:overlap val="-24"/>
        <c:axId val="872766911"/>
        <c:axId val="872776031"/>
      </c:barChart>
      <c:catAx>
        <c:axId val="872766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776031"/>
        <c:crosses val="autoZero"/>
        <c:auto val="1"/>
        <c:lblAlgn val="ctr"/>
        <c:lblOffset val="100"/>
        <c:noMultiLvlLbl val="0"/>
      </c:catAx>
      <c:valAx>
        <c:axId val="872776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76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[Advance_Excel_P1.xlsx]Pivot Table!PivotTable6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Seller Wise Salse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Table'!$D$13:$D$19</c:f>
              <c:strCache>
                <c:ptCount val="6"/>
                <c:pt idx="0">
                  <c:v>ABHISHEK DIXIT</c:v>
                </c:pt>
                <c:pt idx="1">
                  <c:v>ADITYA KUMAR</c:v>
                </c:pt>
                <c:pt idx="2">
                  <c:v>GAJENDRA SINGH</c:v>
                </c:pt>
                <c:pt idx="3">
                  <c:v>NITESH CHAURASIYA</c:v>
                </c:pt>
                <c:pt idx="4">
                  <c:v>RAM PRAVESH</c:v>
                </c:pt>
                <c:pt idx="5">
                  <c:v>SHIVAM VERMA</c:v>
                </c:pt>
              </c:strCache>
            </c:strRef>
          </c:cat>
          <c:val>
            <c:numRef>
              <c:f>'Pivot Table'!$E$13:$E$19</c:f>
              <c:numCache>
                <c:formatCode>General</c:formatCode>
                <c:ptCount val="6"/>
                <c:pt idx="0">
                  <c:v>754950</c:v>
                </c:pt>
                <c:pt idx="1">
                  <c:v>593650</c:v>
                </c:pt>
                <c:pt idx="2">
                  <c:v>769200</c:v>
                </c:pt>
                <c:pt idx="3">
                  <c:v>585950</c:v>
                </c:pt>
                <c:pt idx="4">
                  <c:v>610250</c:v>
                </c:pt>
                <c:pt idx="5">
                  <c:v>773950</c:v>
                </c:pt>
              </c:numCache>
            </c:numRef>
          </c:val>
          <c:extLst>
            <c:ext xmlns:c16="http://schemas.microsoft.com/office/drawing/2014/chart" uri="{C3380CC4-5D6E-409C-BE32-E72D297353CC}">
              <c16:uniqueId val="{00000003-A108-4F0B-AF86-9A305E774F56}"/>
            </c:ext>
          </c:extLst>
        </c:ser>
        <c:dLbls>
          <c:showLegendKey val="0"/>
          <c:showVal val="0"/>
          <c:showCatName val="0"/>
          <c:showSerName val="0"/>
          <c:showPercent val="0"/>
          <c:showBubbleSize val="0"/>
        </c:dLbls>
        <c:gapWidth val="100"/>
        <c:overlap val="-24"/>
        <c:axId val="950137231"/>
        <c:axId val="950154991"/>
      </c:barChart>
      <c:catAx>
        <c:axId val="950137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154991"/>
        <c:crosses val="autoZero"/>
        <c:auto val="1"/>
        <c:lblAlgn val="ctr"/>
        <c:lblOffset val="100"/>
        <c:noMultiLvlLbl val="0"/>
      </c:catAx>
      <c:valAx>
        <c:axId val="950154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13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SELLER!A1"/></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76200</xdr:rowOff>
    </xdr:from>
    <xdr:to>
      <xdr:col>20</xdr:col>
      <xdr:colOff>466726</xdr:colOff>
      <xdr:row>24</xdr:row>
      <xdr:rowOff>57150</xdr:rowOff>
    </xdr:to>
    <xdr:sp macro="" textlink="">
      <xdr:nvSpPr>
        <xdr:cNvPr id="2" name="Rectangle 1">
          <a:extLst>
            <a:ext uri="{FF2B5EF4-FFF2-40B4-BE49-F238E27FC236}">
              <a16:creationId xmlns:a16="http://schemas.microsoft.com/office/drawing/2014/main" id="{3D98B73A-C6A8-F4F9-AE53-C84E89E7C031}"/>
            </a:ext>
          </a:extLst>
        </xdr:cNvPr>
        <xdr:cNvSpPr/>
      </xdr:nvSpPr>
      <xdr:spPr>
        <a:xfrm>
          <a:off x="0" y="76200"/>
          <a:ext cx="12658726" cy="45529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590550</xdr:colOff>
      <xdr:row>11</xdr:row>
      <xdr:rowOff>152400</xdr:rowOff>
    </xdr:from>
    <xdr:to>
      <xdr:col>20</xdr:col>
      <xdr:colOff>400050</xdr:colOff>
      <xdr:row>23</xdr:row>
      <xdr:rowOff>104775</xdr:rowOff>
    </xdr:to>
    <xdr:graphicFrame macro="">
      <xdr:nvGraphicFramePr>
        <xdr:cNvPr id="3" name="Chart 2">
          <a:extLst>
            <a:ext uri="{FF2B5EF4-FFF2-40B4-BE49-F238E27FC236}">
              <a16:creationId xmlns:a16="http://schemas.microsoft.com/office/drawing/2014/main" id="{9DDD304D-85BF-47DF-B0EC-76D0359B6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223837</xdr:colOff>
      <xdr:row>11</xdr:row>
      <xdr:rowOff>47625</xdr:rowOff>
    </xdr:from>
    <xdr:to>
      <xdr:col>13</xdr:col>
      <xdr:colOff>528637</xdr:colOff>
      <xdr:row>23</xdr:row>
      <xdr:rowOff>104775</xdr:rowOff>
    </xdr:to>
    <xdr:graphicFrame macro="">
      <xdr:nvGraphicFramePr>
        <xdr:cNvPr id="4" name="Chart 3">
          <a:extLst>
            <a:ext uri="{FF2B5EF4-FFF2-40B4-BE49-F238E27FC236}">
              <a16:creationId xmlns:a16="http://schemas.microsoft.com/office/drawing/2014/main" id="{36D90D02-F7C1-4C27-BBE1-52AEE7003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342899</xdr:colOff>
      <xdr:row>5</xdr:row>
      <xdr:rowOff>85726</xdr:rowOff>
    </xdr:from>
    <xdr:to>
      <xdr:col>16</xdr:col>
      <xdr:colOff>333374</xdr:colOff>
      <xdr:row>11</xdr:row>
      <xdr:rowOff>104776</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21FFB782-3ED1-4252-B4D9-204164C4176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658099" y="1038226"/>
              <a:ext cx="2428875"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390524</xdr:colOff>
      <xdr:row>0</xdr:row>
      <xdr:rowOff>161925</xdr:rowOff>
    </xdr:from>
    <xdr:to>
      <xdr:col>20</xdr:col>
      <xdr:colOff>380999</xdr:colOff>
      <xdr:row>10</xdr:row>
      <xdr:rowOff>171450</xdr:rowOff>
    </xdr:to>
    <mc:AlternateContent xmlns:mc="http://schemas.openxmlformats.org/markup-compatibility/2006">
      <mc:Choice xmlns:a14="http://schemas.microsoft.com/office/drawing/2010/main" Requires="a14">
        <xdr:graphicFrame macro="">
          <xdr:nvGraphicFramePr>
            <xdr:cNvPr id="6" name="Item">
              <a:extLst>
                <a:ext uri="{FF2B5EF4-FFF2-40B4-BE49-F238E27FC236}">
                  <a16:creationId xmlns:a16="http://schemas.microsoft.com/office/drawing/2014/main" id="{7AB7DBDD-49C1-498A-83ED-55254EF8E7B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0144124" y="161925"/>
              <a:ext cx="2428875" cy="191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600074</xdr:colOff>
      <xdr:row>0</xdr:row>
      <xdr:rowOff>85725</xdr:rowOff>
    </xdr:from>
    <xdr:to>
      <xdr:col>16</xdr:col>
      <xdr:colOff>361949</xdr:colOff>
      <xdr:row>5</xdr:row>
      <xdr:rowOff>57150</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9BF831B2-BEC7-40F3-BE92-BB4CDFC930E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648074" y="85725"/>
              <a:ext cx="6467475"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180975</xdr:colOff>
      <xdr:row>9</xdr:row>
      <xdr:rowOff>85725</xdr:rowOff>
    </xdr:from>
    <xdr:to>
      <xdr:col>6</xdr:col>
      <xdr:colOff>142875</xdr:colOff>
      <xdr:row>23</xdr:row>
      <xdr:rowOff>104774</xdr:rowOff>
    </xdr:to>
    <xdr:graphicFrame macro="">
      <xdr:nvGraphicFramePr>
        <xdr:cNvPr id="10" name="Chart 9">
          <a:extLst>
            <a:ext uri="{FF2B5EF4-FFF2-40B4-BE49-F238E27FC236}">
              <a16:creationId xmlns:a16="http://schemas.microsoft.com/office/drawing/2014/main" id="{657F7324-23B8-4FF8-9471-5B2EE4E06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0</xdr:row>
      <xdr:rowOff>76200</xdr:rowOff>
    </xdr:from>
    <xdr:to>
      <xdr:col>5</xdr:col>
      <xdr:colOff>304800</xdr:colOff>
      <xdr:row>4</xdr:row>
      <xdr:rowOff>57150</xdr:rowOff>
    </xdr:to>
    <xdr:sp macro="" textlink="">
      <xdr:nvSpPr>
        <xdr:cNvPr id="11" name="TextBox 10">
          <a:hlinkClick xmlns:r="http://schemas.openxmlformats.org/officeDocument/2006/relationships" r:id="rId4"/>
          <a:extLst>
            <a:ext uri="{FF2B5EF4-FFF2-40B4-BE49-F238E27FC236}">
              <a16:creationId xmlns:a16="http://schemas.microsoft.com/office/drawing/2014/main" id="{5B2ECB33-5F36-6204-D4AF-A823C455296B}"/>
            </a:ext>
          </a:extLst>
        </xdr:cNvPr>
        <xdr:cNvSpPr txBox="1"/>
      </xdr:nvSpPr>
      <xdr:spPr>
        <a:xfrm>
          <a:off x="161925" y="76200"/>
          <a:ext cx="3190875" cy="74295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3600">
              <a:solidFill>
                <a:srgbClr val="002060"/>
              </a:solidFill>
              <a:latin typeface="+mn-lt"/>
            </a:rPr>
            <a:t>SALSE</a:t>
          </a:r>
          <a:r>
            <a:rPr lang="en-IN" sz="3600" baseline="0">
              <a:solidFill>
                <a:srgbClr val="002060"/>
              </a:solidFill>
              <a:latin typeface="+mn-lt"/>
            </a:rPr>
            <a:t> DETAILS</a:t>
          </a:r>
          <a:endParaRPr lang="en-IN" sz="3600">
            <a:solidFill>
              <a:srgbClr val="002060"/>
            </a:solidFill>
            <a:latin typeface="+mn-lt"/>
          </a:endParaRPr>
        </a:p>
      </xdr:txBody>
    </xdr:sp>
    <xdr:clientData/>
  </xdr:twoCellAnchor>
  <xdr:twoCellAnchor>
    <xdr:from>
      <xdr:col>0</xdr:col>
      <xdr:colOff>209550</xdr:colOff>
      <xdr:row>4</xdr:row>
      <xdr:rowOff>133349</xdr:rowOff>
    </xdr:from>
    <xdr:to>
      <xdr:col>5</xdr:col>
      <xdr:colOff>533400</xdr:colOff>
      <xdr:row>8</xdr:row>
      <xdr:rowOff>142874</xdr:rowOff>
    </xdr:to>
    <xdr:sp macro="" textlink="">
      <xdr:nvSpPr>
        <xdr:cNvPr id="12" name="TextBox 11">
          <a:extLst>
            <a:ext uri="{FF2B5EF4-FFF2-40B4-BE49-F238E27FC236}">
              <a16:creationId xmlns:a16="http://schemas.microsoft.com/office/drawing/2014/main" id="{4F36EE98-C782-648C-0AAF-8E29135A6808}"/>
            </a:ext>
          </a:extLst>
        </xdr:cNvPr>
        <xdr:cNvSpPr txBox="1"/>
      </xdr:nvSpPr>
      <xdr:spPr>
        <a:xfrm>
          <a:off x="209550" y="895349"/>
          <a:ext cx="3371850" cy="771525"/>
        </a:xfrm>
        <a:prstGeom prst="round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2"/>
              </a:solidFill>
            </a:rPr>
            <a:t>TOTAL</a:t>
          </a:r>
          <a:r>
            <a:rPr lang="en-IN" sz="2400" baseline="0">
              <a:solidFill>
                <a:schemeClr val="bg2"/>
              </a:solidFill>
            </a:rPr>
            <a:t> SALSE AMOUNT</a:t>
          </a:r>
        </a:p>
        <a:p>
          <a:pPr algn="ctr"/>
          <a:endParaRPr lang="en-IN" sz="2400">
            <a:solidFill>
              <a:schemeClr val="bg2"/>
            </a:solidFill>
          </a:endParaRPr>
        </a:p>
      </xdr:txBody>
    </xdr:sp>
    <xdr:clientData/>
  </xdr:twoCellAnchor>
  <xdr:twoCellAnchor>
    <xdr:from>
      <xdr:col>1</xdr:col>
      <xdr:colOff>161925</xdr:colOff>
      <xdr:row>7</xdr:row>
      <xdr:rowOff>9524</xdr:rowOff>
    </xdr:from>
    <xdr:to>
      <xdr:col>4</xdr:col>
      <xdr:colOff>381000</xdr:colOff>
      <xdr:row>8</xdr:row>
      <xdr:rowOff>76199</xdr:rowOff>
    </xdr:to>
    <xdr:sp macro="" textlink="'Pivot Table'!B26">
      <xdr:nvSpPr>
        <xdr:cNvPr id="16" name="Rectangle: Rounded Corners 15">
          <a:extLst>
            <a:ext uri="{FF2B5EF4-FFF2-40B4-BE49-F238E27FC236}">
              <a16:creationId xmlns:a16="http://schemas.microsoft.com/office/drawing/2014/main" id="{ACF3507C-D7E4-7AA3-F63B-CB0FD84A42AF}"/>
            </a:ext>
          </a:extLst>
        </xdr:cNvPr>
        <xdr:cNvSpPr/>
      </xdr:nvSpPr>
      <xdr:spPr>
        <a:xfrm>
          <a:off x="771525" y="1343024"/>
          <a:ext cx="2047875" cy="25717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6D674C-4DA3-4DDA-8671-862320414366}" type="TxLink">
            <a:rPr lang="en-US" sz="1800" b="0" i="0" u="none" strike="noStrike">
              <a:solidFill>
                <a:srgbClr val="002060"/>
              </a:solidFill>
              <a:latin typeface="Calibri"/>
              <a:ea typeface="Calibri"/>
              <a:cs typeface="Calibri"/>
            </a:rPr>
            <a:pPr algn="ctr"/>
            <a:t>₹ 40,87,950.00</a:t>
          </a:fld>
          <a:endParaRPr lang="en-IN" sz="18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95250</xdr:rowOff>
    </xdr:from>
    <xdr:to>
      <xdr:col>20</xdr:col>
      <xdr:colOff>219075</xdr:colOff>
      <xdr:row>23</xdr:row>
      <xdr:rowOff>28575</xdr:rowOff>
    </xdr:to>
    <xdr:sp macro="" textlink="">
      <xdr:nvSpPr>
        <xdr:cNvPr id="2" name="Rectangle 1">
          <a:extLst>
            <a:ext uri="{FF2B5EF4-FFF2-40B4-BE49-F238E27FC236}">
              <a16:creationId xmlns:a16="http://schemas.microsoft.com/office/drawing/2014/main" id="{8AEC4845-2F11-D79C-8502-DCEF1CD32E76}"/>
            </a:ext>
          </a:extLst>
        </xdr:cNvPr>
        <xdr:cNvSpPr/>
      </xdr:nvSpPr>
      <xdr:spPr>
        <a:xfrm>
          <a:off x="114300" y="95250"/>
          <a:ext cx="12296775" cy="4314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10</xdr:row>
      <xdr:rowOff>180975</xdr:rowOff>
    </xdr:from>
    <xdr:to>
      <xdr:col>20</xdr:col>
      <xdr:colOff>180975</xdr:colOff>
      <xdr:row>22</xdr:row>
      <xdr:rowOff>180974</xdr:rowOff>
    </xdr:to>
    <xdr:graphicFrame macro="">
      <xdr:nvGraphicFramePr>
        <xdr:cNvPr id="6" name="Chart 5">
          <a:extLst>
            <a:ext uri="{FF2B5EF4-FFF2-40B4-BE49-F238E27FC236}">
              <a16:creationId xmlns:a16="http://schemas.microsoft.com/office/drawing/2014/main" id="{3D4992A0-4330-498E-9289-A9E34397D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200024</xdr:colOff>
      <xdr:row>9</xdr:row>
      <xdr:rowOff>104776</xdr:rowOff>
    </xdr:from>
    <xdr:to>
      <xdr:col>11</xdr:col>
      <xdr:colOff>342899</xdr:colOff>
      <xdr:row>22</xdr:row>
      <xdr:rowOff>180974</xdr:rowOff>
    </xdr:to>
    <xdr:graphicFrame macro="">
      <xdr:nvGraphicFramePr>
        <xdr:cNvPr id="7" name="Chart 6">
          <a:extLst>
            <a:ext uri="{FF2B5EF4-FFF2-40B4-BE49-F238E27FC236}">
              <a16:creationId xmlns:a16="http://schemas.microsoft.com/office/drawing/2014/main" id="{82721B1E-7AAF-496F-923F-6C6ED7E60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200023</xdr:colOff>
      <xdr:row>6</xdr:row>
      <xdr:rowOff>0</xdr:rowOff>
    </xdr:from>
    <xdr:to>
      <xdr:col>14</xdr:col>
      <xdr:colOff>28575</xdr:colOff>
      <xdr:row>9</xdr:row>
      <xdr:rowOff>114300</xdr:rowOff>
    </xdr:to>
    <mc:AlternateContent xmlns:mc="http://schemas.openxmlformats.org/markup-compatibility/2006">
      <mc:Choice xmlns:a14="http://schemas.microsoft.com/office/drawing/2010/main" Requires="a14">
        <xdr:graphicFrame macro="">
          <xdr:nvGraphicFramePr>
            <xdr:cNvPr id="10" name="Seller">
              <a:extLst>
                <a:ext uri="{FF2B5EF4-FFF2-40B4-BE49-F238E27FC236}">
                  <a16:creationId xmlns:a16="http://schemas.microsoft.com/office/drawing/2014/main" id="{C3405136-2CB7-4F51-8EF9-707EF0775C4D}"/>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dr:sp macro="" textlink="">
          <xdr:nvSpPr>
            <xdr:cNvPr id="0" name=""/>
            <xdr:cNvSpPr>
              <a:spLocks noTextEdit="1"/>
            </xdr:cNvSpPr>
          </xdr:nvSpPr>
          <xdr:spPr>
            <a:xfrm>
              <a:off x="200023" y="1143000"/>
              <a:ext cx="8362952"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600075</xdr:colOff>
      <xdr:row>0</xdr:row>
      <xdr:rowOff>142875</xdr:rowOff>
    </xdr:from>
    <xdr:to>
      <xdr:col>14</xdr:col>
      <xdr:colOff>95251</xdr:colOff>
      <xdr:row>5</xdr:row>
      <xdr:rowOff>57150</xdr:rowOff>
    </xdr:to>
    <mc:AlternateContent xmlns:mc="http://schemas.openxmlformats.org/markup-compatibility/2006">
      <mc:Choice xmlns:tsle="http://schemas.microsoft.com/office/drawing/2012/timeslicer" Requires="tsle">
        <xdr:graphicFrame macro="">
          <xdr:nvGraphicFramePr>
            <xdr:cNvPr id="11" name="Date 1">
              <a:extLst>
                <a:ext uri="{FF2B5EF4-FFF2-40B4-BE49-F238E27FC236}">
                  <a16:creationId xmlns:a16="http://schemas.microsoft.com/office/drawing/2014/main" id="{9E0F670C-8143-4629-A2CF-227B75FEB2D5}"/>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428875" y="142875"/>
              <a:ext cx="6200776" cy="8667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123825</xdr:colOff>
      <xdr:row>0</xdr:row>
      <xdr:rowOff>114300</xdr:rowOff>
    </xdr:from>
    <xdr:to>
      <xdr:col>17</xdr:col>
      <xdr:colOff>123825</xdr:colOff>
      <xdr:row>7</xdr:row>
      <xdr:rowOff>85725</xdr:rowOff>
    </xdr:to>
    <mc:AlternateContent xmlns:mc="http://schemas.openxmlformats.org/markup-compatibility/2006">
      <mc:Choice xmlns:a14="http://schemas.microsoft.com/office/drawing/2010/main" Requires="a14">
        <xdr:graphicFrame macro="">
          <xdr:nvGraphicFramePr>
            <xdr:cNvPr id="12" name="City 1">
              <a:extLst>
                <a:ext uri="{FF2B5EF4-FFF2-40B4-BE49-F238E27FC236}">
                  <a16:creationId xmlns:a16="http://schemas.microsoft.com/office/drawing/2014/main" id="{411D7F72-4944-4FD7-BE12-4F2378CA8D9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658225" y="114300"/>
              <a:ext cx="18288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161925</xdr:colOff>
      <xdr:row>0</xdr:row>
      <xdr:rowOff>104776</xdr:rowOff>
    </xdr:from>
    <xdr:to>
      <xdr:col>20</xdr:col>
      <xdr:colOff>161925</xdr:colOff>
      <xdr:row>10</xdr:row>
      <xdr:rowOff>161926</xdr:rowOff>
    </xdr:to>
    <mc:AlternateContent xmlns:mc="http://schemas.openxmlformats.org/markup-compatibility/2006">
      <mc:Choice xmlns:a14="http://schemas.microsoft.com/office/drawing/2010/main" Requires="a14">
        <xdr:graphicFrame macro="">
          <xdr:nvGraphicFramePr>
            <xdr:cNvPr id="13" name="Item 1">
              <a:extLst>
                <a:ext uri="{FF2B5EF4-FFF2-40B4-BE49-F238E27FC236}">
                  <a16:creationId xmlns:a16="http://schemas.microsoft.com/office/drawing/2014/main" id="{52BE85EA-6E96-4864-95F5-B720312C4452}"/>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0525125" y="104776"/>
              <a:ext cx="1828800" cy="196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0</xdr:row>
      <xdr:rowOff>133350</xdr:rowOff>
    </xdr:from>
    <xdr:to>
      <xdr:col>3</xdr:col>
      <xdr:colOff>523875</xdr:colOff>
      <xdr:row>4</xdr:row>
      <xdr:rowOff>9525</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4EF071A-87B4-91A2-DD00-3730DBDFD0B0}"/>
            </a:ext>
          </a:extLst>
        </xdr:cNvPr>
        <xdr:cNvSpPr/>
      </xdr:nvSpPr>
      <xdr:spPr>
        <a:xfrm>
          <a:off x="190500" y="133350"/>
          <a:ext cx="2162175" cy="63817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002060"/>
              </a:solidFill>
            </a:rPr>
            <a:t>SELLER</a:t>
          </a:r>
          <a:r>
            <a:rPr lang="en-IN" sz="1100" b="1">
              <a:solidFill>
                <a:srgbClr val="002060"/>
              </a:solidFill>
            </a:rPr>
            <a:t> </a:t>
          </a:r>
          <a:r>
            <a:rPr lang="en-IN" sz="2000" b="1">
              <a:solidFill>
                <a:srgbClr val="002060"/>
              </a:solidFill>
            </a:rPr>
            <a:t>DETAILS</a:t>
          </a:r>
          <a:endParaRPr lang="en-IN" sz="1100" b="1">
            <a:solidFill>
              <a:srgbClr val="00206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77180671296" backgroundQuery="1" createdVersion="8" refreshedVersion="8" minRefreshableVersion="3" recordCount="0" supportSubquery="1" supportAdvancedDrill="1" xr:uid="{5298487F-6145-4A60-AEC4-C217C84D16C4}">
  <cacheSource type="external" connectionId="1"/>
  <cacheFields count="3">
    <cacheField name="[Table1].[Item].[Item]" caption="Item" numFmtId="0" hierarchy="4" level="1">
      <sharedItems count="6">
        <s v="Keyboard"/>
        <s v="M/B"/>
        <s v="Mic"/>
        <s v="Mouse"/>
        <s v="RAM"/>
        <s v="SSD"/>
      </sharedItems>
    </cacheField>
    <cacheField name="[Measures].[Sum of Qty]" caption="Sum of Qty" numFmtId="0" hierarchy="13" level="32767"/>
    <cacheField name="[Table1].[Seller].[Seller]" caption="Seller" numFmtId="0" hierarchy="1" level="1">
      <sharedItems containsSemiMixedTypes="0" containsNonDate="0" containsString="0"/>
    </cacheField>
  </cacheFields>
  <cacheHierarchies count="14">
    <cacheHierarchy uniqueName="[Table1].[S.N]" caption="S.N" attribute="1" defaultMemberUniqueName="[Table1].[S.N].[All]" allUniqueName="[Table1].[S.N].[All]" dimensionUniqueName="[Table1]" displayFolder="" count="2" memberValueDatatype="20" unbalanced="0"/>
    <cacheHierarchy uniqueName="[Table1].[Seller]" caption="Seller" attribute="1" defaultMemberUniqueName="[Table1].[Seller].[All]" allUniqueName="[Table1].[Seller].[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Item]" caption="Item" attribute="1" defaultMemberUniqueName="[Table1].[Item].[All]" allUniqueName="[Table1].[Item].[All]" dimensionUniqueName="[Table1]" displayFolder="" count="2" memberValueDatatype="130" unbalanced="0">
      <fieldsUsage count="2">
        <fieldUsage x="-1"/>
        <fieldUsage x="0"/>
      </fieldsUsage>
    </cacheHierarchy>
    <cacheHierarchy uniqueName="[Table1].[Qty]" caption="Qty" attribute="1" defaultMemberUniqueName="[Table1].[Qty].[All]" allUniqueName="[Table1].[Qty].[All]" dimensionUniqueName="[Table1]" displayFolder="" count="2" memberValueDatatype="20" unbalanced="0"/>
    <cacheHierarchy uniqueName="[Table1].[Rate]" caption="Rate" attribute="1" defaultMemberUniqueName="[Table1].[Rate].[All]" allUniqueName="[Table1].[Rate].[All]" dimensionUniqueName="[Table1]" displayFolder="" count="2" memberValueDatatype="20" unbalanced="0"/>
    <cacheHierarchy uniqueName="[Table1].[Total]" caption="Total" attribute="1" defaultMemberUniqueName="[Table1].[Total].[All]" allUniqueName="[Table1].[Total].[All]" dimensionUniqueName="[Table1]" displayFolder="" count="2"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77181249997" backgroundQuery="1" createdVersion="8" refreshedVersion="8" minRefreshableVersion="3" recordCount="0" supportSubquery="1" supportAdvancedDrill="1" xr:uid="{1F5E2ABC-BA4A-4B11-ABD1-FF83F21FAA2B}">
  <cacheSource type="external" connectionId="1"/>
  <cacheFields count="2">
    <cacheField name="[Table1].[Seller].[Seller]" caption="Seller" numFmtId="0" hierarchy="1" level="1">
      <sharedItems count="6">
        <s v="ABHISHEK DIXIT"/>
        <s v="ADITYA KUMAR"/>
        <s v="GAJENDRA SINGH"/>
        <s v="NITESH CHAURASIYA"/>
        <s v="RAM PRAVESH"/>
        <s v="SHIVAM VERMA"/>
      </sharedItems>
    </cacheField>
    <cacheField name="[Measures].[Sum of Total]" caption="Sum of Total" numFmtId="0" hierarchy="12" level="32767"/>
  </cacheFields>
  <cacheHierarchies count="14">
    <cacheHierarchy uniqueName="[Table1].[S.N]" caption="S.N" attribute="1" defaultMemberUniqueName="[Table1].[S.N].[All]" allUniqueName="[Table1].[S.N].[All]" dimensionUniqueName="[Table1]" displayFolder="" count="2" memberValueDatatype="20" unbalanced="0"/>
    <cacheHierarchy uniqueName="[Table1].[Seller]" caption="Seller" attribute="1" defaultMemberUniqueName="[Table1].[Seller].[All]" allUniqueName="[Table1].[Seller].[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Item]" caption="Item" attribute="1" defaultMemberUniqueName="[Table1].[Item].[All]" allUniqueName="[Table1].[Item].[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Rate]" caption="Rate" attribute="1" defaultMemberUniqueName="[Table1].[Rate].[All]" allUniqueName="[Table1].[Rate].[All]" dimensionUniqueName="[Table1]" displayFolder="" count="2" memberValueDatatype="20" unbalanced="0"/>
    <cacheHierarchy uniqueName="[Table1].[Total]" caption="Total" attribute="1" defaultMemberUniqueName="[Table1].[Total].[All]" allUniqueName="[Table1].[Total].[All]" dimensionUniqueName="[Table1]" displayFolder="" count="2" memberValueDatatype="2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78512037036" backgroundQuery="1" createdVersion="8" refreshedVersion="8" minRefreshableVersion="3" recordCount="0" supportSubquery="1" supportAdvancedDrill="1" xr:uid="{2B7737EA-A810-4D92-BA7F-FA8620C98731}">
  <cacheSource type="external" connectionId="1"/>
  <cacheFields count="3">
    <cacheField name="[Table1].[Date (Month)].[Date (Month)]" caption="Date (Month)" numFmtId="0" hierarchy="8" level="1">
      <sharedItems count="4">
        <s v="Jan"/>
        <s v="Feb"/>
        <s v="Mar"/>
        <s v="Apr"/>
      </sharedItems>
    </cacheField>
    <cacheField name="[Measures].[Sum of Total]" caption="Sum of Total" numFmtId="0" hierarchy="12" level="32767"/>
    <cacheField name="[Table1].[City].[City]" caption="City" numFmtId="0" hierarchy="2" level="1">
      <sharedItems containsSemiMixedTypes="0" containsNonDate="0" containsString="0"/>
    </cacheField>
  </cacheFields>
  <cacheHierarchies count="14">
    <cacheHierarchy uniqueName="[Table1].[S.N]" caption="S.N" attribute="1" defaultMemberUniqueName="[Table1].[S.N].[All]" allUniqueName="[Table1].[S.N].[All]" dimensionUniqueName="[Table1]" displayFolder="" count="0" memberValueDatatype="20" unbalanced="0"/>
    <cacheHierarchy uniqueName="[Table1].[Seller]" caption="Seller" attribute="1" defaultMemberUniqueName="[Table1].[Seller].[All]" allUniqueName="[Table1].[Sell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Item]" caption="Item" attribute="1" defaultMemberUniqueName="[Table1].[Item].[All]" allUniqueName="[Table1].[Item].[All]" dimensionUniqueName="[Table1]" displayFolder="" count="2" memberValueDatatype="130" unbalanced="0"/>
    <cacheHierarchy uniqueName="[Table1].[Qty]" caption="Qty" attribute="1" defaultMemberUniqueName="[Table1].[Qty].[All]" allUniqueName="[Table1].[Qty].[All]" dimensionUniqueName="[Table1]" displayFolder="" count="0" memberValueDatatype="20" unbalanced="0"/>
    <cacheHierarchy uniqueName="[Table1].[Rate]" caption="Rate" attribute="1" defaultMemberUniqueName="[Table1].[Rate].[All]" allUniqueName="[Table1].[Rate].[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78512731483" backgroundQuery="1" createdVersion="8" refreshedVersion="8" minRefreshableVersion="3" recordCount="0" supportSubquery="1" supportAdvancedDrill="1" xr:uid="{65FBD2F2-7419-4C4E-AB86-4B171F1C435D}">
  <cacheSource type="external" connectionId="1"/>
  <cacheFields count="2">
    <cacheField name="[Measures].[Sum of Total]" caption="Sum of Total" numFmtId="0" hierarchy="12" level="32767"/>
    <cacheField name="[Table1].[City].[City]" caption="City" numFmtId="0" hierarchy="2" level="1">
      <sharedItems count="3">
        <s v="Lakhimpur"/>
        <s v="Lucknow"/>
        <s v="Sitapur"/>
      </sharedItems>
    </cacheField>
  </cacheFields>
  <cacheHierarchies count="14">
    <cacheHierarchy uniqueName="[Table1].[S.N]" caption="S.N" attribute="1" defaultMemberUniqueName="[Table1].[S.N].[All]" allUniqueName="[Table1].[S.N].[All]" dimensionUniqueName="[Table1]" displayFolder="" count="0" memberValueDatatype="20" unbalanced="0"/>
    <cacheHierarchy uniqueName="[Table1].[Seller]" caption="Seller" attribute="1" defaultMemberUniqueName="[Table1].[Seller].[All]" allUniqueName="[Table1].[Sell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2" memberValueDatatype="7" unbalanced="0"/>
    <cacheHierarchy uniqueName="[Table1].[Item]" caption="Item" attribute="1" defaultMemberUniqueName="[Table1].[Item].[All]" allUniqueName="[Table1].[Item].[All]" dimensionUniqueName="[Table1]" displayFolder="" count="2" memberValueDatatype="130" unbalanced="0"/>
    <cacheHierarchy uniqueName="[Table1].[Qty]" caption="Qty" attribute="1" defaultMemberUniqueName="[Table1].[Qty].[All]" allUniqueName="[Table1].[Qty].[All]" dimensionUniqueName="[Table1]" displayFolder="" count="0" memberValueDatatype="20" unbalanced="0"/>
    <cacheHierarchy uniqueName="[Table1].[Rate]" caption="Rate" attribute="1" defaultMemberUniqueName="[Table1].[Rate].[All]" allUniqueName="[Table1].[Rate].[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78513310183" backgroundQuery="1" createdVersion="8" refreshedVersion="8" minRefreshableVersion="3" recordCount="0" supportSubquery="1" supportAdvancedDrill="1" xr:uid="{3E2CB4B8-CA26-4A22-A830-31E747E58CF8}">
  <cacheSource type="external" connectionId="1"/>
  <cacheFields count="3">
    <cacheField name="[Measures].[Sum of Qty]" caption="Sum of Qty" numFmtId="0" hierarchy="13" level="32767"/>
    <cacheField name="[Table1].[Item].[Item]" caption="Item" numFmtId="0" hierarchy="4" level="1">
      <sharedItems count="6">
        <s v="Keyboard"/>
        <s v="M/B"/>
        <s v="Mic"/>
        <s v="Mouse"/>
        <s v="RAM"/>
        <s v="SSD"/>
      </sharedItems>
    </cacheField>
    <cacheField name="[Table1].[City].[City]" caption="City" numFmtId="0" hierarchy="2" level="1">
      <sharedItems containsSemiMixedTypes="0" containsNonDate="0" containsString="0"/>
    </cacheField>
  </cacheFields>
  <cacheHierarchies count="14">
    <cacheHierarchy uniqueName="[Table1].[S.N]" caption="S.N" attribute="1" defaultMemberUniqueName="[Table1].[S.N].[All]" allUniqueName="[Table1].[S.N].[All]" dimensionUniqueName="[Table1]" displayFolder="" count="0" memberValueDatatype="20" unbalanced="0"/>
    <cacheHierarchy uniqueName="[Table1].[Seller]" caption="Seller" attribute="1" defaultMemberUniqueName="[Table1].[Seller].[All]" allUniqueName="[Table1].[Sell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2" memberValueDatatype="7" unbalanced="0"/>
    <cacheHierarchy uniqueName="[Table1].[Item]" caption="Item" attribute="1" defaultMemberUniqueName="[Table1].[Item].[All]" allUniqueName="[Table1].[Item].[All]" dimensionUniqueName="[Table1]" displayFolder="" count="2" memberValueDatatype="130" unbalanced="0">
      <fieldsUsage count="2">
        <fieldUsage x="-1"/>
        <fieldUsage x="1"/>
      </fieldsUsage>
    </cacheHierarchy>
    <cacheHierarchy uniqueName="[Table1].[Qty]" caption="Qty" attribute="1" defaultMemberUniqueName="[Table1].[Qty].[All]" allUniqueName="[Table1].[Qty].[All]" dimensionUniqueName="[Table1]" displayFolder="" count="0" memberValueDatatype="20" unbalanced="0"/>
    <cacheHierarchy uniqueName="[Table1].[Rate]" caption="Rate" attribute="1" defaultMemberUniqueName="[Table1].[Rate].[All]" allUniqueName="[Table1].[Rate].[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78513657406" backgroundQuery="1" createdVersion="8" refreshedVersion="8" minRefreshableVersion="3" recordCount="0" supportSubquery="1" supportAdvancedDrill="1" xr:uid="{FE503BFB-A093-493D-A38D-9C9099E9F214}">
  <cacheSource type="external" connectionId="1"/>
  <cacheFields count="2">
    <cacheField name="[Measures].[Sum of Total]" caption="Sum of Total" numFmtId="0" hierarchy="12" level="32767"/>
    <cacheField name="[Table1].[City].[City]" caption="City" numFmtId="0" hierarchy="2" level="1">
      <sharedItems containsSemiMixedTypes="0" containsNonDate="0" containsString="0"/>
    </cacheField>
  </cacheFields>
  <cacheHierarchies count="14">
    <cacheHierarchy uniqueName="[Table1].[S.N]" caption="S.N" attribute="1" defaultMemberUniqueName="[Table1].[S.N].[All]" allUniqueName="[Table1].[S.N].[All]" dimensionUniqueName="[Table1]" displayFolder="" count="0" memberValueDatatype="20" unbalanced="0"/>
    <cacheHierarchy uniqueName="[Table1].[Seller]" caption="Seller" attribute="1" defaultMemberUniqueName="[Table1].[Seller].[All]" allUniqueName="[Table1].[Sell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2" memberValueDatatype="7" unbalanced="0"/>
    <cacheHierarchy uniqueName="[Table1].[Item]" caption="Item" attribute="1" defaultMemberUniqueName="[Table1].[Item].[All]" allUniqueName="[Table1].[Item].[All]" dimensionUniqueName="[Table1]" displayFolder="" count="2" memberValueDatatype="130" unbalanced="0"/>
    <cacheHierarchy uniqueName="[Table1].[Qty]" caption="Qty" attribute="1" defaultMemberUniqueName="[Table1].[Qty].[All]" allUniqueName="[Table1].[Qty].[All]" dimensionUniqueName="[Table1]" displayFolder="" count="0" memberValueDatatype="20" unbalanced="0"/>
    <cacheHierarchy uniqueName="[Table1].[Rate]" caption="Rate" attribute="1" defaultMemberUniqueName="[Table1].[Rate].[All]" allUniqueName="[Table1].[Rate].[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09346759261" backgroundQuery="1" createdVersion="3" refreshedVersion="8" minRefreshableVersion="3" recordCount="0" supportSubquery="1" supportAdvancedDrill="1" xr:uid="{0207B18F-E419-425A-A1E4-B11211ED4EDD}">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S.N]" caption="S.N" attribute="1" defaultMemberUniqueName="[Table1].[S.N].[All]" allUniqueName="[Table1].[S.N].[All]" dimensionUniqueName="[Table1]" displayFolder="" count="0" memberValueDatatype="20" unbalanced="0"/>
    <cacheHierarchy uniqueName="[Table1].[Seller]" caption="Seller" attribute="1" defaultMemberUniqueName="[Table1].[Seller].[All]" allUniqueName="[Table1].[Sell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Item]" caption="Item" attribute="1" defaultMemberUniqueName="[Table1].[Item].[All]" allUniqueName="[Table1].[Item].[All]" dimensionUniqueName="[Table1]" displayFolder="" count="2" memberValueDatatype="130" unbalanced="0"/>
    <cacheHierarchy uniqueName="[Table1].[Qty]" caption="Qty" attribute="1" defaultMemberUniqueName="[Table1].[Qty].[All]" allUniqueName="[Table1].[Qty].[All]" dimensionUniqueName="[Table1]" displayFolder="" count="0" memberValueDatatype="20" unbalanced="0"/>
    <cacheHierarchy uniqueName="[Table1].[Rate]" caption="Rate" attribute="1" defaultMemberUniqueName="[Table1].[Rate].[All]" allUniqueName="[Table1].[Rate].[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94031679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45632175928" backgroundQuery="1" createdVersion="3" refreshedVersion="8" minRefreshableVersion="3" recordCount="0" supportSubquery="1" supportAdvancedDrill="1" xr:uid="{E45D6B2B-C7EE-4FB7-9C9F-38A917C7A451}">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Table1].[S.N]" caption="S.N" attribute="1" defaultMemberUniqueName="[Table1].[S.N].[All]" allUniqueName="[Table1].[S.N].[All]" dimensionUniqueName="[Table1]" displayFolder="" count="0" memberValueDatatype="20" unbalanced="0"/>
    <cacheHierarchy uniqueName="[Table1].[Seller]" caption="Seller" attribute="1" defaultMemberUniqueName="[Table1].[Seller].[All]" allUniqueName="[Table1].[Seller].[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Item]" caption="Item" attribute="1" defaultMemberUniqueName="[Table1].[Item].[All]" allUniqueName="[Table1].[Item].[All]" dimensionUniqueName="[Table1]" displayFolder="" count="2" memberValueDatatype="130" unbalanced="0"/>
    <cacheHierarchy uniqueName="[Table1].[Qty]" caption="Qty" attribute="1" defaultMemberUniqueName="[Table1].[Qty].[All]" allUniqueName="[Table1].[Qty].[All]" dimensionUniqueName="[Table1]" displayFolder="" count="0" memberValueDatatype="20" unbalanced="0"/>
    <cacheHierarchy uniqueName="[Table1].[Rate]" caption="Rate" attribute="1" defaultMemberUniqueName="[Table1].[Rate].[All]" allUniqueName="[Table1].[Rate].[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62162524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13278587963" backgroundQuery="1" createdVersion="3" refreshedVersion="8" minRefreshableVersion="3" recordCount="0" supportSubquery="1" supportAdvancedDrill="1" xr:uid="{B15362FC-6B1F-462C-A008-DF5FAC6D41EF}">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S.N]" caption="S.N" attribute="1" defaultMemberUniqueName="[Table1].[S.N].[All]" allUniqueName="[Table1].[S.N].[All]" dimensionUniqueName="[Table1]" displayFolder="" count="0" memberValueDatatype="20" unbalanced="0"/>
    <cacheHierarchy uniqueName="[Table1].[Seller]" caption="Seller" attribute="1" defaultMemberUniqueName="[Table1].[Seller].[All]" allUniqueName="[Table1].[Sell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Item]" caption="Item" attribute="1" defaultMemberUniqueName="[Table1].[Item].[All]" allUniqueName="[Table1].[Item].[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Rate]" caption="Rate" attribute="1" defaultMemberUniqueName="[Table1].[Rate].[All]" allUniqueName="[Table1].[Rate].[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914362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UMAR" refreshedDate="46106.947625810186" backgroundQuery="1" createdVersion="3" refreshedVersion="8" minRefreshableVersion="3" recordCount="0" supportSubquery="1" supportAdvancedDrill="1" xr:uid="{2D70F315-85DE-4B48-B162-833D2CFD9BB9}">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Table1].[S.N]" caption="S.N" attribute="1" defaultMemberUniqueName="[Table1].[S.N].[All]" allUniqueName="[Table1].[S.N].[All]" dimensionUniqueName="[Table1]" displayFolder="" count="0" memberValueDatatype="20" unbalanced="0"/>
    <cacheHierarchy uniqueName="[Table1].[Seller]" caption="Seller" attribute="1" defaultMemberUniqueName="[Table1].[Seller].[All]" allUniqueName="[Table1].[Sell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Item]" caption="Item" attribute="1" defaultMemberUniqueName="[Table1].[Item].[All]" allUniqueName="[Table1].[Item].[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Rate]" caption="Rate" attribute="1" defaultMemberUniqueName="[Table1].[Rate].[All]" allUniqueName="[Table1].[Rate].[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Table1"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pivotCacheId="7201597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67C2A6-1FB2-4430-B76F-85FB31D2C7FE}" name="PivotTable6" cacheId="165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D12:E19"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07AA4F-BE42-48FE-A458-22A45FF9ABE1}" name="PivotTable5" cacheId="165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D3:E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Qty"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9D17AE-8D5D-477D-9A6E-EF8500091DA2}" name="PivotTable4" cacheId="17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A25:A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fld="0" baseField="0" baseItem="0"/>
  </dataFields>
  <pivotHierarchies count="1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AE2489-7137-40CB-8ABA-5B3C89661A0C}" name="PivotTable3" cacheId="17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A16:B23"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Qty" fld="0" baseField="0" baseItem="0"/>
  </dataFields>
  <chartFormats count="7">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2">
          <reference field="4294967294" count="1" selected="0">
            <x v="0"/>
          </reference>
          <reference field="1" count="1" selected="0">
            <x v="2"/>
          </reference>
        </references>
      </pivotArea>
    </chartFormat>
    <chartFormat chart="13" format="12">
      <pivotArea type="data" outline="0" fieldPosition="0">
        <references count="2">
          <reference field="4294967294" count="1" selected="0">
            <x v="0"/>
          </reference>
          <reference field="1" count="1" selected="0">
            <x v="3"/>
          </reference>
        </references>
      </pivotArea>
    </chartFormat>
    <chartFormat chart="13" format="13">
      <pivotArea type="data" outline="0" fieldPosition="0">
        <references count="2">
          <reference field="4294967294" count="1" selected="0">
            <x v="0"/>
          </reference>
          <reference field="1" count="1" selected="0">
            <x v="4"/>
          </reference>
        </references>
      </pivotArea>
    </chartFormat>
    <chartFormat chart="13" format="14">
      <pivotArea type="data" outline="0" fieldPosition="0">
        <references count="2">
          <reference field="4294967294" count="1" selected="0">
            <x v="0"/>
          </reference>
          <reference field="1" count="1" selected="0">
            <x v="5"/>
          </reference>
        </references>
      </pivotArea>
    </chartFormat>
  </chartFormats>
  <pivotHierarchies count="1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07565B-B6A9-43A4-AA8C-F2D5DED65B6F}" name="PivotTable2" cacheId="170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A10:B14"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otal" fld="0"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FE9C6A-2D07-4C7D-9D83-0B4EDF5100EB}" name="PivotTable1" cacheId="17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4D903DA-4EBE-4329-85B9-38F1F8450022}" sourceName="[Table1].[City]">
  <pivotTables>
    <pivotTable tabId="2" name="PivotTable1"/>
    <pivotTable tabId="2" name="PivotTable2"/>
    <pivotTable tabId="2" name="PivotTable3"/>
    <pivotTable tabId="2" name="PivotTable4"/>
  </pivotTables>
  <data>
    <olap pivotCacheId="940316792">
      <levels count="2">
        <level uniqueName="[Table1].[City].[(All)]" sourceCaption="(All)" count="0"/>
        <level uniqueName="[Table1].[City].[City]" sourceCaption="City" count="3">
          <ranges>
            <range startItem="0">
              <i n="[Table1].[City].&amp;[Lakhimpur]" c="Lakhimpur"/>
              <i n="[Table1].[City].&amp;[Lucknow]" c="Lucknow"/>
              <i n="[Table1].[City].&amp;[Sitapur]" c="Sitapur"/>
            </range>
          </ranges>
        </level>
      </levels>
      <selections count="1">
        <selection n="[Table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FEBE651-F5D3-4440-9759-E0F6D3941264}" sourceName="[Table1].[Item]">
  <pivotTables>
    <pivotTable tabId="2" name="PivotTable3"/>
    <pivotTable tabId="2" name="PivotTable1"/>
    <pivotTable tabId="2" name="PivotTable2"/>
    <pivotTable tabId="2" name="PivotTable4"/>
  </pivotTables>
  <data>
    <olap pivotCacheId="940316792">
      <levels count="2">
        <level uniqueName="[Table1].[Item].[(All)]" sourceCaption="(All)" count="0"/>
        <level uniqueName="[Table1].[Item].[Item]" sourceCaption="Item" count="6">
          <ranges>
            <range startItem="0">
              <i n="[Table1].[Item].&amp;[Keyboard]" c="Keyboard"/>
              <i n="[Table1].[Item].&amp;[M/B]" c="M/B"/>
              <i n="[Table1].[Item].&amp;[Mic]" c="Mic"/>
              <i n="[Table1].[Item].&amp;[Mouse]" c="Mouse"/>
              <i n="[Table1].[Item].&amp;[RAM]" c="RAM"/>
              <i n="[Table1].[Item].&amp;[SSD]" c="SSD"/>
            </range>
          </ranges>
        </level>
      </levels>
      <selections count="1">
        <selection n="[Table1].[Ite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B5A89239-2D8C-41BE-A8E6-D251E233112D}" sourceName="[Table1].[Seller]">
  <pivotTables>
    <pivotTable tabId="2" name="PivotTable5"/>
    <pivotTable tabId="2" name="PivotTable6"/>
  </pivotTables>
  <data>
    <olap pivotCacheId="621625240">
      <levels count="2">
        <level uniqueName="[Table1].[Seller].[(All)]" sourceCaption="(All)" count="0"/>
        <level uniqueName="[Table1].[Seller].[Seller]" sourceCaption="Seller" count="6">
          <ranges>
            <range startItem="0">
              <i n="[Table1].[Seller].&amp;[ABHISHEK DIXIT]" c="ABHISHEK DIXIT"/>
              <i n="[Table1].[Seller].&amp;[ADITYA KUMAR]" c="ADITYA KUMAR"/>
              <i n="[Table1].[Seller].&amp;[GAJENDRA SINGH]" c="GAJENDRA SINGH"/>
              <i n="[Table1].[Seller].&amp;[NITESH CHAURASIYA]" c="NITESH CHAURASIYA"/>
              <i n="[Table1].[Seller].&amp;[RAM PRAVESH]" c="RAM PRAVESH"/>
              <i n="[Table1].[Seller].&amp;[SHIVAM VERMA]" c="SHIVAM VERMA"/>
            </range>
          </ranges>
        </level>
      </levels>
      <selections count="1">
        <selection n="[Table1].[Sell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455BB356-F8FB-4D88-891A-BDBE3F2A6683}" sourceName="[Table1].[City]">
  <pivotTables>
    <pivotTable tabId="2" name="PivotTable5"/>
    <pivotTable tabId="2" name="PivotTable6"/>
  </pivotTables>
  <data>
    <olap pivotCacheId="621625240">
      <levels count="2">
        <level uniqueName="[Table1].[City].[(All)]" sourceCaption="(All)" count="0"/>
        <level uniqueName="[Table1].[City].[City]" sourceCaption="City" count="3">
          <ranges>
            <range startItem="0">
              <i n="[Table1].[City].&amp;[Lakhimpur]" c="Lakhimpur"/>
              <i n="[Table1].[City].&amp;[Lucknow]" c="Lucknow"/>
              <i n="[Table1].[City].&amp;[Sitapur]" c="Sitapur"/>
            </range>
          </ranges>
        </level>
      </levels>
      <selections count="1">
        <selection n="[Table1].[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5A0D2493-EF5B-4ABA-B58F-BD51E4FBC7DA}" sourceName="[Table1].[Item]">
  <pivotTables>
    <pivotTable tabId="2" name="PivotTable5"/>
    <pivotTable tabId="2" name="PivotTable6"/>
  </pivotTables>
  <data>
    <olap pivotCacheId="621625240">
      <levels count="2">
        <level uniqueName="[Table1].[Item].[(All)]" sourceCaption="(All)" count="0"/>
        <level uniqueName="[Table1].[Item].[Item]" sourceCaption="Item" count="6">
          <ranges>
            <range startItem="0">
              <i n="[Table1].[Item].&amp;[Keyboard]" c="Keyboard"/>
              <i n="[Table1].[Item].&amp;[M/B]" c="M/B"/>
              <i n="[Table1].[Item].&amp;[Mic]" c="Mic"/>
              <i n="[Table1].[Item].&amp;[Mouse]" c="Mouse"/>
              <i n="[Table1].[Item].&amp;[RAM]" c="RAM"/>
              <i n="[Table1].[Item].&amp;[SSD]" c="SSD"/>
            </range>
          </ranges>
        </level>
      </levels>
      <selections count="1">
        <selection n="[Table1].[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B3DD715-67E7-43A6-96E4-FE90A29F90EF}" cache="Slicer_City" caption="City" level="1" style="SlicerStyleDark2" rowHeight="241300"/>
  <slicer name="Item" xr10:uid="{685616DE-8485-4EAA-B980-7433F4C29A92}" cache="Slicer_Item" caption="Item" level="1"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4D1CEFC5-854F-4856-865F-65FD8CC5F2A7}" cache="Slicer_Seller" caption="Seller" columnCount="6" level="1" rowHeight="241300"/>
  <slicer name="City 1" xr10:uid="{E4E2F531-FF64-4856-AC0E-13AE1A96C318}" cache="Slicer_City1" caption="City" level="1" rowHeight="241300"/>
  <slicer name="Item 1" xr10:uid="{0821EF44-9012-4BBD-9705-529D7A0BC15C}" cache="Slicer_Item1" caption="Item"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B1E4EE-4628-476F-B626-6F13B7432CCA}" name="Table1" displayName="Table1" ref="A1:H145" totalsRowShown="0" headerRowDxfId="0">
  <autoFilter ref="A1:H145" xr:uid="{11B1E4EE-4628-476F-B626-6F13B7432CCA}"/>
  <tableColumns count="8">
    <tableColumn id="1" xr3:uid="{B5D57C39-D3CE-4AF0-9EA6-0E0C1F20EC7C}" name="S.N"/>
    <tableColumn id="2" xr3:uid="{94C0F527-D165-48D6-815C-B59F28271E60}" name="Seller"/>
    <tableColumn id="3" xr3:uid="{A7C03B74-66A8-4DE6-8D22-3196B4162029}" name="City"/>
    <tableColumn id="4" xr3:uid="{6D40FE9A-7E69-4186-BBDF-A5859E874517}" name="Date" dataDxfId="1"/>
    <tableColumn id="5" xr3:uid="{CF1040F2-F581-43A6-BA56-E80B5FAB3C11}" name="Item"/>
    <tableColumn id="6" xr3:uid="{90A9AFCD-6D61-411E-95BD-C0258FCC08E9}" name="Qty"/>
    <tableColumn id="7" xr3:uid="{2ABB001D-35A9-4E26-885A-AB9459C4B4EA}" name="Rate"/>
    <tableColumn id="8" xr3:uid="{5F7898D3-6C91-4B60-BB30-4B1AEA9C5767}" name="Total">
      <calculatedColumnFormula>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EE1CA19A-57BC-4263-8F90-D364EFA0C218}" sourceName="[Table1].[Date]">
  <pivotTables>
    <pivotTable tabId="2" name="PivotTable2"/>
    <pivotTable tabId="2" name="PivotTable3"/>
    <pivotTable tabId="2" name="PivotTable4"/>
  </pivotTables>
  <state minimalRefreshVersion="6" lastRefreshVersion="6" pivotCacheId="91436223" filterType="unknown">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01A55C57-DA2F-4D2B-966C-2D3439B88E85}" sourceName="[Table1].[Date]">
  <pivotTables>
    <pivotTable tabId="2" name="PivotTable5"/>
    <pivotTable tabId="2" name="PivotTable6"/>
  </pivotTables>
  <state minimalRefreshVersion="6" lastRefreshVersion="6" pivotCacheId="720159748"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9468595-D22C-4969-B451-03A2FF274A13}" cache="Timeline_Date" caption="Date" showSelectionLabel="0" showTimeLevel="0" showHorizontalScrollbar="0" level="2" selectionLevel="2" scrollPosition="2025-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320D92E-5BA3-4BBA-9698-405F525A874B}" cache="Timeline_Date1" caption="Date"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13B73-F269-4A3F-AF9D-CA0F2294128F}">
  <dimension ref="A1:H145"/>
  <sheetViews>
    <sheetView zoomScale="115" zoomScaleNormal="115" workbookViewId="0">
      <selection activeCell="J5" sqref="J5"/>
    </sheetView>
  </sheetViews>
  <sheetFormatPr defaultRowHeight="15" x14ac:dyDescent="0.25"/>
  <cols>
    <col min="1" max="1" width="6.140625" customWidth="1"/>
    <col min="2" max="2" width="19.28515625" bestFit="1" customWidth="1"/>
    <col min="3" max="3" width="10.28515625" bestFit="1" customWidth="1"/>
    <col min="4" max="4" width="11.28515625" bestFit="1" customWidth="1"/>
    <col min="5" max="5" width="9.42578125" bestFit="1" customWidth="1"/>
    <col min="6" max="6" width="6.42578125" bestFit="1" customWidth="1"/>
    <col min="7" max="7" width="7.28515625" bestFit="1" customWidth="1"/>
    <col min="8" max="8" width="7.7109375" bestFit="1" customWidth="1"/>
  </cols>
  <sheetData>
    <row r="1" spans="1:8" x14ac:dyDescent="0.25">
      <c r="A1" s="1" t="s">
        <v>0</v>
      </c>
      <c r="B1" s="1" t="s">
        <v>1</v>
      </c>
      <c r="C1" s="1" t="s">
        <v>2</v>
      </c>
      <c r="D1" s="1" t="s">
        <v>3</v>
      </c>
      <c r="E1" s="1" t="s">
        <v>4</v>
      </c>
      <c r="F1" s="1" t="s">
        <v>5</v>
      </c>
      <c r="G1" s="1" t="s">
        <v>6</v>
      </c>
      <c r="H1" s="1" t="s">
        <v>7</v>
      </c>
    </row>
    <row r="2" spans="1:8" x14ac:dyDescent="0.25">
      <c r="A2">
        <v>1</v>
      </c>
      <c r="B2" t="s">
        <v>8</v>
      </c>
      <c r="C2" t="s">
        <v>9</v>
      </c>
      <c r="D2" s="2">
        <v>45658</v>
      </c>
      <c r="E2" t="s">
        <v>10</v>
      </c>
      <c r="F2">
        <v>4</v>
      </c>
      <c r="G2">
        <v>150</v>
      </c>
      <c r="H2">
        <f>F2*G2</f>
        <v>600</v>
      </c>
    </row>
    <row r="3" spans="1:8" x14ac:dyDescent="0.25">
      <c r="A3">
        <v>2</v>
      </c>
      <c r="B3" t="s">
        <v>8</v>
      </c>
      <c r="C3" t="s">
        <v>9</v>
      </c>
      <c r="D3" s="2">
        <v>45658</v>
      </c>
      <c r="E3" t="s">
        <v>11</v>
      </c>
      <c r="F3">
        <v>9</v>
      </c>
      <c r="G3">
        <v>350</v>
      </c>
      <c r="H3">
        <f t="shared" ref="H3:H66" si="0">F3*G3</f>
        <v>3150</v>
      </c>
    </row>
    <row r="4" spans="1:8" x14ac:dyDescent="0.25">
      <c r="A4">
        <v>3</v>
      </c>
      <c r="B4" t="s">
        <v>8</v>
      </c>
      <c r="C4" t="s">
        <v>9</v>
      </c>
      <c r="D4" s="2">
        <v>45658</v>
      </c>
      <c r="E4" t="s">
        <v>12</v>
      </c>
      <c r="F4">
        <v>4</v>
      </c>
      <c r="G4">
        <v>1800</v>
      </c>
      <c r="H4">
        <f t="shared" si="0"/>
        <v>7200</v>
      </c>
    </row>
    <row r="5" spans="1:8" x14ac:dyDescent="0.25">
      <c r="A5">
        <v>4</v>
      </c>
      <c r="B5" t="s">
        <v>8</v>
      </c>
      <c r="C5" t="s">
        <v>9</v>
      </c>
      <c r="D5" s="2">
        <v>45658</v>
      </c>
      <c r="E5" t="s">
        <v>13</v>
      </c>
      <c r="F5">
        <v>16</v>
      </c>
      <c r="G5">
        <v>2300</v>
      </c>
      <c r="H5">
        <f t="shared" si="0"/>
        <v>36800</v>
      </c>
    </row>
    <row r="6" spans="1:8" x14ac:dyDescent="0.25">
      <c r="A6">
        <v>5</v>
      </c>
      <c r="B6" t="s">
        <v>8</v>
      </c>
      <c r="C6" t="s">
        <v>9</v>
      </c>
      <c r="D6" s="2">
        <v>45658</v>
      </c>
      <c r="E6" t="s">
        <v>14</v>
      </c>
      <c r="F6">
        <v>13</v>
      </c>
      <c r="G6">
        <v>4000</v>
      </c>
      <c r="H6">
        <f t="shared" si="0"/>
        <v>52000</v>
      </c>
    </row>
    <row r="7" spans="1:8" x14ac:dyDescent="0.25">
      <c r="A7">
        <v>6</v>
      </c>
      <c r="B7" t="s">
        <v>8</v>
      </c>
      <c r="C7" t="s">
        <v>9</v>
      </c>
      <c r="D7" s="2">
        <v>45658</v>
      </c>
      <c r="E7" t="s">
        <v>15</v>
      </c>
      <c r="F7">
        <v>9</v>
      </c>
      <c r="G7">
        <v>8000</v>
      </c>
      <c r="H7">
        <f t="shared" si="0"/>
        <v>72000</v>
      </c>
    </row>
    <row r="8" spans="1:8" x14ac:dyDescent="0.25">
      <c r="A8">
        <v>7</v>
      </c>
      <c r="B8" t="s">
        <v>16</v>
      </c>
      <c r="C8" t="s">
        <v>17</v>
      </c>
      <c r="D8" s="2">
        <v>45659</v>
      </c>
      <c r="E8" t="s">
        <v>10</v>
      </c>
      <c r="F8">
        <v>14</v>
      </c>
      <c r="G8">
        <v>150</v>
      </c>
      <c r="H8">
        <f t="shared" si="0"/>
        <v>2100</v>
      </c>
    </row>
    <row r="9" spans="1:8" x14ac:dyDescent="0.25">
      <c r="A9">
        <v>8</v>
      </c>
      <c r="B9" t="s">
        <v>18</v>
      </c>
      <c r="C9" t="s">
        <v>17</v>
      </c>
      <c r="D9" s="2">
        <v>45659</v>
      </c>
      <c r="E9" t="s">
        <v>10</v>
      </c>
      <c r="F9">
        <v>13</v>
      </c>
      <c r="G9">
        <v>150</v>
      </c>
      <c r="H9">
        <f t="shared" si="0"/>
        <v>1950</v>
      </c>
    </row>
    <row r="10" spans="1:8" x14ac:dyDescent="0.25">
      <c r="A10">
        <v>9</v>
      </c>
      <c r="B10" t="s">
        <v>16</v>
      </c>
      <c r="C10" t="s">
        <v>17</v>
      </c>
      <c r="D10" s="2">
        <v>45659</v>
      </c>
      <c r="E10" t="s">
        <v>11</v>
      </c>
      <c r="F10">
        <v>14</v>
      </c>
      <c r="G10">
        <v>350</v>
      </c>
      <c r="H10">
        <f t="shared" si="0"/>
        <v>4900</v>
      </c>
    </row>
    <row r="11" spans="1:8" x14ac:dyDescent="0.25">
      <c r="A11">
        <v>10</v>
      </c>
      <c r="B11" t="s">
        <v>18</v>
      </c>
      <c r="C11" t="s">
        <v>17</v>
      </c>
      <c r="D11" s="2">
        <v>45659</v>
      </c>
      <c r="E11" t="s">
        <v>11</v>
      </c>
      <c r="F11">
        <v>11</v>
      </c>
      <c r="G11">
        <v>350</v>
      </c>
      <c r="H11">
        <f t="shared" si="0"/>
        <v>3850</v>
      </c>
    </row>
    <row r="12" spans="1:8" x14ac:dyDescent="0.25">
      <c r="A12">
        <v>11</v>
      </c>
      <c r="B12" t="s">
        <v>16</v>
      </c>
      <c r="C12" t="s">
        <v>17</v>
      </c>
      <c r="D12" s="2">
        <v>45659</v>
      </c>
      <c r="E12" t="s">
        <v>12</v>
      </c>
      <c r="F12">
        <v>15</v>
      </c>
      <c r="G12">
        <v>1800</v>
      </c>
      <c r="H12">
        <f t="shared" si="0"/>
        <v>27000</v>
      </c>
    </row>
    <row r="13" spans="1:8" x14ac:dyDescent="0.25">
      <c r="A13">
        <v>12</v>
      </c>
      <c r="B13" t="s">
        <v>18</v>
      </c>
      <c r="C13" t="s">
        <v>17</v>
      </c>
      <c r="D13" s="2">
        <v>45659</v>
      </c>
      <c r="E13" t="s">
        <v>12</v>
      </c>
      <c r="F13">
        <v>7</v>
      </c>
      <c r="G13">
        <v>1800</v>
      </c>
      <c r="H13">
        <f t="shared" si="0"/>
        <v>12600</v>
      </c>
    </row>
    <row r="14" spans="1:8" x14ac:dyDescent="0.25">
      <c r="A14">
        <v>13</v>
      </c>
      <c r="B14" t="s">
        <v>16</v>
      </c>
      <c r="C14" t="s">
        <v>17</v>
      </c>
      <c r="D14" s="2">
        <v>45659</v>
      </c>
      <c r="E14" t="s">
        <v>13</v>
      </c>
      <c r="F14">
        <v>7</v>
      </c>
      <c r="G14">
        <v>2300</v>
      </c>
      <c r="H14">
        <f t="shared" si="0"/>
        <v>16100</v>
      </c>
    </row>
    <row r="15" spans="1:8" x14ac:dyDescent="0.25">
      <c r="A15">
        <v>14</v>
      </c>
      <c r="B15" t="s">
        <v>18</v>
      </c>
      <c r="C15" t="s">
        <v>17</v>
      </c>
      <c r="D15" s="2">
        <v>45659</v>
      </c>
      <c r="E15" t="s">
        <v>13</v>
      </c>
      <c r="F15">
        <v>13</v>
      </c>
      <c r="G15">
        <v>2300</v>
      </c>
      <c r="H15">
        <f t="shared" si="0"/>
        <v>29900</v>
      </c>
    </row>
    <row r="16" spans="1:8" x14ac:dyDescent="0.25">
      <c r="A16">
        <v>15</v>
      </c>
      <c r="B16" t="s">
        <v>16</v>
      </c>
      <c r="C16" t="s">
        <v>17</v>
      </c>
      <c r="D16" s="2">
        <v>45659</v>
      </c>
      <c r="E16" t="s">
        <v>14</v>
      </c>
      <c r="F16">
        <v>10</v>
      </c>
      <c r="G16">
        <v>4000</v>
      </c>
      <c r="H16">
        <f t="shared" si="0"/>
        <v>40000</v>
      </c>
    </row>
    <row r="17" spans="1:8" x14ac:dyDescent="0.25">
      <c r="A17">
        <v>16</v>
      </c>
      <c r="B17" t="s">
        <v>18</v>
      </c>
      <c r="C17" t="s">
        <v>17</v>
      </c>
      <c r="D17" s="2">
        <v>45659</v>
      </c>
      <c r="E17" t="s">
        <v>14</v>
      </c>
      <c r="F17">
        <v>4</v>
      </c>
      <c r="G17">
        <v>4000</v>
      </c>
      <c r="H17">
        <f t="shared" si="0"/>
        <v>16000</v>
      </c>
    </row>
    <row r="18" spans="1:8" x14ac:dyDescent="0.25">
      <c r="A18">
        <v>17</v>
      </c>
      <c r="B18" t="s">
        <v>18</v>
      </c>
      <c r="C18" t="s">
        <v>17</v>
      </c>
      <c r="D18" s="2">
        <v>45659</v>
      </c>
      <c r="E18" t="s">
        <v>15</v>
      </c>
      <c r="F18">
        <v>13</v>
      </c>
      <c r="G18">
        <v>8000</v>
      </c>
      <c r="H18">
        <f t="shared" si="0"/>
        <v>104000</v>
      </c>
    </row>
    <row r="19" spans="1:8" x14ac:dyDescent="0.25">
      <c r="A19">
        <v>18</v>
      </c>
      <c r="B19" t="s">
        <v>16</v>
      </c>
      <c r="C19" t="s">
        <v>17</v>
      </c>
      <c r="D19" s="2">
        <v>45659</v>
      </c>
      <c r="E19" t="s">
        <v>15</v>
      </c>
      <c r="F19">
        <v>12</v>
      </c>
      <c r="G19">
        <v>8000</v>
      </c>
      <c r="H19">
        <f t="shared" si="0"/>
        <v>96000</v>
      </c>
    </row>
    <row r="20" spans="1:8" x14ac:dyDescent="0.25">
      <c r="A20">
        <v>19</v>
      </c>
      <c r="B20" t="s">
        <v>19</v>
      </c>
      <c r="C20" t="s">
        <v>20</v>
      </c>
      <c r="D20" s="2">
        <v>45660</v>
      </c>
      <c r="E20" t="s">
        <v>10</v>
      </c>
      <c r="F20">
        <v>4</v>
      </c>
      <c r="G20">
        <v>150</v>
      </c>
      <c r="H20">
        <f t="shared" si="0"/>
        <v>600</v>
      </c>
    </row>
    <row r="21" spans="1:8" x14ac:dyDescent="0.25">
      <c r="A21">
        <v>20</v>
      </c>
      <c r="B21" t="s">
        <v>19</v>
      </c>
      <c r="C21" t="s">
        <v>20</v>
      </c>
      <c r="D21" s="2">
        <v>45660</v>
      </c>
      <c r="E21" t="s">
        <v>11</v>
      </c>
      <c r="F21">
        <v>12</v>
      </c>
      <c r="G21">
        <v>350</v>
      </c>
      <c r="H21">
        <f t="shared" si="0"/>
        <v>4200</v>
      </c>
    </row>
    <row r="22" spans="1:8" x14ac:dyDescent="0.25">
      <c r="A22">
        <v>21</v>
      </c>
      <c r="B22" t="s">
        <v>19</v>
      </c>
      <c r="C22" t="s">
        <v>20</v>
      </c>
      <c r="D22" s="2">
        <v>45660</v>
      </c>
      <c r="E22" t="s">
        <v>12</v>
      </c>
      <c r="F22">
        <v>5</v>
      </c>
      <c r="G22">
        <v>1800</v>
      </c>
      <c r="H22">
        <f t="shared" si="0"/>
        <v>9000</v>
      </c>
    </row>
    <row r="23" spans="1:8" x14ac:dyDescent="0.25">
      <c r="A23">
        <v>22</v>
      </c>
      <c r="B23" t="s">
        <v>19</v>
      </c>
      <c r="C23" t="s">
        <v>20</v>
      </c>
      <c r="D23" s="2">
        <v>45660</v>
      </c>
      <c r="E23" t="s">
        <v>13</v>
      </c>
      <c r="F23">
        <v>10</v>
      </c>
      <c r="G23">
        <v>2300</v>
      </c>
      <c r="H23">
        <f t="shared" si="0"/>
        <v>23000</v>
      </c>
    </row>
    <row r="24" spans="1:8" x14ac:dyDescent="0.25">
      <c r="A24">
        <v>23</v>
      </c>
      <c r="B24" t="s">
        <v>19</v>
      </c>
      <c r="C24" t="s">
        <v>20</v>
      </c>
      <c r="D24" s="2">
        <v>45660</v>
      </c>
      <c r="E24" t="s">
        <v>14</v>
      </c>
      <c r="F24">
        <v>10</v>
      </c>
      <c r="G24">
        <v>4000</v>
      </c>
      <c r="H24">
        <f t="shared" si="0"/>
        <v>40000</v>
      </c>
    </row>
    <row r="25" spans="1:8" x14ac:dyDescent="0.25">
      <c r="A25">
        <v>24</v>
      </c>
      <c r="B25" t="s">
        <v>19</v>
      </c>
      <c r="C25" t="s">
        <v>20</v>
      </c>
      <c r="D25" s="2">
        <v>45660</v>
      </c>
      <c r="E25" t="s">
        <v>15</v>
      </c>
      <c r="F25">
        <v>10</v>
      </c>
      <c r="G25">
        <v>8000</v>
      </c>
      <c r="H25">
        <f t="shared" si="0"/>
        <v>80000</v>
      </c>
    </row>
    <row r="26" spans="1:8" x14ac:dyDescent="0.25">
      <c r="A26">
        <v>25</v>
      </c>
      <c r="B26" t="s">
        <v>21</v>
      </c>
      <c r="C26" t="s">
        <v>9</v>
      </c>
      <c r="D26" s="2">
        <v>45661</v>
      </c>
      <c r="E26" t="s">
        <v>10</v>
      </c>
      <c r="F26">
        <v>11</v>
      </c>
      <c r="G26">
        <v>150</v>
      </c>
      <c r="H26">
        <f t="shared" si="0"/>
        <v>1650</v>
      </c>
    </row>
    <row r="27" spans="1:8" x14ac:dyDescent="0.25">
      <c r="A27">
        <v>26</v>
      </c>
      <c r="B27" t="s">
        <v>21</v>
      </c>
      <c r="C27" t="s">
        <v>9</v>
      </c>
      <c r="D27" s="2">
        <v>45661</v>
      </c>
      <c r="E27" t="s">
        <v>11</v>
      </c>
      <c r="F27">
        <v>5</v>
      </c>
      <c r="G27">
        <v>350</v>
      </c>
      <c r="H27">
        <f t="shared" si="0"/>
        <v>1750</v>
      </c>
    </row>
    <row r="28" spans="1:8" x14ac:dyDescent="0.25">
      <c r="A28">
        <v>27</v>
      </c>
      <c r="B28" t="s">
        <v>21</v>
      </c>
      <c r="C28" t="s">
        <v>9</v>
      </c>
      <c r="D28" s="2">
        <v>45661</v>
      </c>
      <c r="E28" t="s">
        <v>12</v>
      </c>
      <c r="F28">
        <v>14</v>
      </c>
      <c r="G28">
        <v>1800</v>
      </c>
      <c r="H28">
        <f t="shared" si="0"/>
        <v>25200</v>
      </c>
    </row>
    <row r="29" spans="1:8" x14ac:dyDescent="0.25">
      <c r="A29">
        <v>28</v>
      </c>
      <c r="B29" t="s">
        <v>21</v>
      </c>
      <c r="C29" t="s">
        <v>9</v>
      </c>
      <c r="D29" s="2">
        <v>45661</v>
      </c>
      <c r="E29" t="s">
        <v>13</v>
      </c>
      <c r="F29">
        <v>6</v>
      </c>
      <c r="G29">
        <v>2300</v>
      </c>
      <c r="H29">
        <f t="shared" si="0"/>
        <v>13800</v>
      </c>
    </row>
    <row r="30" spans="1:8" x14ac:dyDescent="0.25">
      <c r="A30">
        <v>29</v>
      </c>
      <c r="B30" t="s">
        <v>21</v>
      </c>
      <c r="C30" t="s">
        <v>9</v>
      </c>
      <c r="D30" s="2">
        <v>45661</v>
      </c>
      <c r="E30" t="s">
        <v>14</v>
      </c>
      <c r="F30">
        <v>14</v>
      </c>
      <c r="G30">
        <v>4000</v>
      </c>
      <c r="H30">
        <f t="shared" si="0"/>
        <v>56000</v>
      </c>
    </row>
    <row r="31" spans="1:8" x14ac:dyDescent="0.25">
      <c r="A31">
        <v>30</v>
      </c>
      <c r="B31" t="s">
        <v>21</v>
      </c>
      <c r="C31" t="s">
        <v>9</v>
      </c>
      <c r="D31" s="2">
        <v>45661</v>
      </c>
      <c r="E31" t="s">
        <v>15</v>
      </c>
      <c r="F31">
        <v>14</v>
      </c>
      <c r="G31">
        <v>8000</v>
      </c>
      <c r="H31">
        <f t="shared" si="0"/>
        <v>112000</v>
      </c>
    </row>
    <row r="32" spans="1:8" x14ac:dyDescent="0.25">
      <c r="A32">
        <v>31</v>
      </c>
      <c r="B32" t="s">
        <v>22</v>
      </c>
      <c r="C32" t="s">
        <v>20</v>
      </c>
      <c r="D32" s="2">
        <v>45662</v>
      </c>
      <c r="E32" t="s">
        <v>10</v>
      </c>
      <c r="F32">
        <v>9</v>
      </c>
      <c r="G32">
        <v>150</v>
      </c>
      <c r="H32">
        <f t="shared" si="0"/>
        <v>1350</v>
      </c>
    </row>
    <row r="33" spans="1:8" x14ac:dyDescent="0.25">
      <c r="A33">
        <v>32</v>
      </c>
      <c r="B33" t="s">
        <v>22</v>
      </c>
      <c r="C33" t="s">
        <v>20</v>
      </c>
      <c r="D33" s="2">
        <v>45662</v>
      </c>
      <c r="E33" t="s">
        <v>11</v>
      </c>
      <c r="F33">
        <v>7</v>
      </c>
      <c r="G33">
        <v>350</v>
      </c>
      <c r="H33">
        <f t="shared" si="0"/>
        <v>2450</v>
      </c>
    </row>
    <row r="34" spans="1:8" x14ac:dyDescent="0.25">
      <c r="A34">
        <v>33</v>
      </c>
      <c r="B34" t="s">
        <v>22</v>
      </c>
      <c r="C34" t="s">
        <v>20</v>
      </c>
      <c r="D34" s="2">
        <v>45662</v>
      </c>
      <c r="E34" t="s">
        <v>12</v>
      </c>
      <c r="F34">
        <v>7</v>
      </c>
      <c r="G34">
        <v>1800</v>
      </c>
      <c r="H34">
        <f t="shared" si="0"/>
        <v>12600</v>
      </c>
    </row>
    <row r="35" spans="1:8" x14ac:dyDescent="0.25">
      <c r="A35">
        <v>34</v>
      </c>
      <c r="B35" t="s">
        <v>22</v>
      </c>
      <c r="C35" t="s">
        <v>20</v>
      </c>
      <c r="D35" s="2">
        <v>45662</v>
      </c>
      <c r="E35" t="s">
        <v>13</v>
      </c>
      <c r="F35">
        <v>16</v>
      </c>
      <c r="G35">
        <v>2300</v>
      </c>
      <c r="H35">
        <f t="shared" si="0"/>
        <v>36800</v>
      </c>
    </row>
    <row r="36" spans="1:8" x14ac:dyDescent="0.25">
      <c r="A36">
        <v>35</v>
      </c>
      <c r="B36" t="s">
        <v>22</v>
      </c>
      <c r="C36" t="s">
        <v>20</v>
      </c>
      <c r="D36" s="2">
        <v>45662</v>
      </c>
      <c r="E36" t="s">
        <v>14</v>
      </c>
      <c r="F36">
        <v>5</v>
      </c>
      <c r="G36">
        <v>4000</v>
      </c>
      <c r="H36">
        <f t="shared" si="0"/>
        <v>20000</v>
      </c>
    </row>
    <row r="37" spans="1:8" x14ac:dyDescent="0.25">
      <c r="A37">
        <v>36</v>
      </c>
      <c r="B37" t="s">
        <v>22</v>
      </c>
      <c r="C37" t="s">
        <v>20</v>
      </c>
      <c r="D37" s="2">
        <v>45662</v>
      </c>
      <c r="E37" t="s">
        <v>15</v>
      </c>
      <c r="F37">
        <v>6</v>
      </c>
      <c r="G37">
        <v>8000</v>
      </c>
      <c r="H37">
        <f t="shared" si="0"/>
        <v>48000</v>
      </c>
    </row>
    <row r="38" spans="1:8" x14ac:dyDescent="0.25">
      <c r="A38">
        <v>37</v>
      </c>
      <c r="B38" t="s">
        <v>8</v>
      </c>
      <c r="C38" t="s">
        <v>9</v>
      </c>
      <c r="D38" s="2">
        <v>45689</v>
      </c>
      <c r="E38" t="s">
        <v>10</v>
      </c>
      <c r="F38">
        <v>12</v>
      </c>
      <c r="G38">
        <v>150</v>
      </c>
      <c r="H38">
        <f t="shared" si="0"/>
        <v>1800</v>
      </c>
    </row>
    <row r="39" spans="1:8" x14ac:dyDescent="0.25">
      <c r="A39">
        <v>38</v>
      </c>
      <c r="B39" t="s">
        <v>8</v>
      </c>
      <c r="C39" t="s">
        <v>9</v>
      </c>
      <c r="D39" s="2">
        <v>45689</v>
      </c>
      <c r="E39" t="s">
        <v>11</v>
      </c>
      <c r="F39">
        <v>4</v>
      </c>
      <c r="G39">
        <v>350</v>
      </c>
      <c r="H39">
        <f t="shared" si="0"/>
        <v>1400</v>
      </c>
    </row>
    <row r="40" spans="1:8" x14ac:dyDescent="0.25">
      <c r="A40">
        <v>39</v>
      </c>
      <c r="B40" t="s">
        <v>8</v>
      </c>
      <c r="C40" t="s">
        <v>9</v>
      </c>
      <c r="D40" s="2">
        <v>45689</v>
      </c>
      <c r="E40" t="s">
        <v>12</v>
      </c>
      <c r="F40">
        <v>10</v>
      </c>
      <c r="G40">
        <v>1800</v>
      </c>
      <c r="H40">
        <f t="shared" si="0"/>
        <v>18000</v>
      </c>
    </row>
    <row r="41" spans="1:8" x14ac:dyDescent="0.25">
      <c r="A41">
        <v>40</v>
      </c>
      <c r="B41" t="s">
        <v>8</v>
      </c>
      <c r="C41" t="s">
        <v>9</v>
      </c>
      <c r="D41" s="2">
        <v>45689</v>
      </c>
      <c r="E41" t="s">
        <v>13</v>
      </c>
      <c r="F41">
        <v>11</v>
      </c>
      <c r="G41">
        <v>2300</v>
      </c>
      <c r="H41">
        <f t="shared" si="0"/>
        <v>25300</v>
      </c>
    </row>
    <row r="42" spans="1:8" x14ac:dyDescent="0.25">
      <c r="A42">
        <v>41</v>
      </c>
      <c r="B42" t="s">
        <v>8</v>
      </c>
      <c r="C42" t="s">
        <v>9</v>
      </c>
      <c r="D42" s="2">
        <v>45689</v>
      </c>
      <c r="E42" t="s">
        <v>14</v>
      </c>
      <c r="F42">
        <v>12</v>
      </c>
      <c r="G42">
        <v>4000</v>
      </c>
      <c r="H42">
        <f t="shared" si="0"/>
        <v>48000</v>
      </c>
    </row>
    <row r="43" spans="1:8" x14ac:dyDescent="0.25">
      <c r="A43">
        <v>42</v>
      </c>
      <c r="B43" t="s">
        <v>8</v>
      </c>
      <c r="C43" t="s">
        <v>9</v>
      </c>
      <c r="D43" s="2">
        <v>45689</v>
      </c>
      <c r="E43" t="s">
        <v>15</v>
      </c>
      <c r="F43">
        <v>11</v>
      </c>
      <c r="G43">
        <v>8000</v>
      </c>
      <c r="H43">
        <f t="shared" si="0"/>
        <v>88000</v>
      </c>
    </row>
    <row r="44" spans="1:8" x14ac:dyDescent="0.25">
      <c r="A44">
        <v>43</v>
      </c>
      <c r="B44" t="s">
        <v>16</v>
      </c>
      <c r="C44" t="s">
        <v>17</v>
      </c>
      <c r="D44" s="2">
        <v>45690</v>
      </c>
      <c r="E44" t="s">
        <v>10</v>
      </c>
      <c r="F44">
        <v>8</v>
      </c>
      <c r="G44">
        <v>150</v>
      </c>
      <c r="H44">
        <f t="shared" si="0"/>
        <v>1200</v>
      </c>
    </row>
    <row r="45" spans="1:8" x14ac:dyDescent="0.25">
      <c r="A45">
        <v>44</v>
      </c>
      <c r="B45" t="s">
        <v>18</v>
      </c>
      <c r="C45" t="s">
        <v>17</v>
      </c>
      <c r="D45" s="2">
        <v>45690</v>
      </c>
      <c r="E45" t="s">
        <v>10</v>
      </c>
      <c r="F45">
        <v>12</v>
      </c>
      <c r="G45">
        <v>150</v>
      </c>
      <c r="H45">
        <f t="shared" si="0"/>
        <v>1800</v>
      </c>
    </row>
    <row r="46" spans="1:8" x14ac:dyDescent="0.25">
      <c r="A46">
        <v>45</v>
      </c>
      <c r="B46" t="s">
        <v>16</v>
      </c>
      <c r="C46" t="s">
        <v>17</v>
      </c>
      <c r="D46" s="2">
        <v>45690</v>
      </c>
      <c r="E46" t="s">
        <v>11</v>
      </c>
      <c r="F46">
        <v>4</v>
      </c>
      <c r="G46">
        <v>350</v>
      </c>
      <c r="H46">
        <f t="shared" si="0"/>
        <v>1400</v>
      </c>
    </row>
    <row r="47" spans="1:8" x14ac:dyDescent="0.25">
      <c r="A47">
        <v>46</v>
      </c>
      <c r="B47" t="s">
        <v>18</v>
      </c>
      <c r="C47" t="s">
        <v>17</v>
      </c>
      <c r="D47" s="2">
        <v>45690</v>
      </c>
      <c r="E47" t="s">
        <v>11</v>
      </c>
      <c r="F47">
        <v>16</v>
      </c>
      <c r="G47">
        <v>350</v>
      </c>
      <c r="H47">
        <f t="shared" si="0"/>
        <v>5600</v>
      </c>
    </row>
    <row r="48" spans="1:8" x14ac:dyDescent="0.25">
      <c r="A48">
        <v>47</v>
      </c>
      <c r="B48" t="s">
        <v>16</v>
      </c>
      <c r="C48" t="s">
        <v>17</v>
      </c>
      <c r="D48" s="2">
        <v>45690</v>
      </c>
      <c r="E48" t="s">
        <v>12</v>
      </c>
      <c r="F48">
        <v>8</v>
      </c>
      <c r="G48">
        <v>1800</v>
      </c>
      <c r="H48">
        <f t="shared" si="0"/>
        <v>14400</v>
      </c>
    </row>
    <row r="49" spans="1:8" x14ac:dyDescent="0.25">
      <c r="A49">
        <v>48</v>
      </c>
      <c r="B49" t="s">
        <v>18</v>
      </c>
      <c r="C49" t="s">
        <v>17</v>
      </c>
      <c r="D49" s="2">
        <v>45690</v>
      </c>
      <c r="E49" t="s">
        <v>12</v>
      </c>
      <c r="F49">
        <v>4</v>
      </c>
      <c r="G49">
        <v>1800</v>
      </c>
      <c r="H49">
        <f t="shared" si="0"/>
        <v>7200</v>
      </c>
    </row>
    <row r="50" spans="1:8" x14ac:dyDescent="0.25">
      <c r="A50">
        <v>49</v>
      </c>
      <c r="B50" t="s">
        <v>16</v>
      </c>
      <c r="C50" t="s">
        <v>17</v>
      </c>
      <c r="D50" s="2">
        <v>45690</v>
      </c>
      <c r="E50" t="s">
        <v>13</v>
      </c>
      <c r="F50">
        <v>6</v>
      </c>
      <c r="G50">
        <v>2300</v>
      </c>
      <c r="H50">
        <f t="shared" si="0"/>
        <v>13800</v>
      </c>
    </row>
    <row r="51" spans="1:8" x14ac:dyDescent="0.25">
      <c r="A51">
        <v>50</v>
      </c>
      <c r="B51" t="s">
        <v>18</v>
      </c>
      <c r="C51" t="s">
        <v>17</v>
      </c>
      <c r="D51" s="2">
        <v>45690</v>
      </c>
      <c r="E51" t="s">
        <v>13</v>
      </c>
      <c r="F51">
        <v>10</v>
      </c>
      <c r="G51">
        <v>2300</v>
      </c>
      <c r="H51">
        <f t="shared" si="0"/>
        <v>23000</v>
      </c>
    </row>
    <row r="52" spans="1:8" x14ac:dyDescent="0.25">
      <c r="A52">
        <v>51</v>
      </c>
      <c r="B52" t="s">
        <v>16</v>
      </c>
      <c r="C52" t="s">
        <v>17</v>
      </c>
      <c r="D52" s="2">
        <v>45690</v>
      </c>
      <c r="E52" t="s">
        <v>14</v>
      </c>
      <c r="F52">
        <v>13</v>
      </c>
      <c r="G52">
        <v>4000</v>
      </c>
      <c r="H52">
        <f t="shared" si="0"/>
        <v>52000</v>
      </c>
    </row>
    <row r="53" spans="1:8" x14ac:dyDescent="0.25">
      <c r="A53">
        <v>52</v>
      </c>
      <c r="B53" t="s">
        <v>18</v>
      </c>
      <c r="C53" t="s">
        <v>17</v>
      </c>
      <c r="D53" s="2">
        <v>45690</v>
      </c>
      <c r="E53" t="s">
        <v>14</v>
      </c>
      <c r="F53">
        <v>4</v>
      </c>
      <c r="G53">
        <v>4000</v>
      </c>
      <c r="H53">
        <f t="shared" si="0"/>
        <v>16000</v>
      </c>
    </row>
    <row r="54" spans="1:8" x14ac:dyDescent="0.25">
      <c r="A54">
        <v>53</v>
      </c>
      <c r="B54" t="s">
        <v>18</v>
      </c>
      <c r="C54" t="s">
        <v>17</v>
      </c>
      <c r="D54" s="2">
        <v>45690</v>
      </c>
      <c r="E54" t="s">
        <v>15</v>
      </c>
      <c r="F54">
        <v>5</v>
      </c>
      <c r="G54">
        <v>8000</v>
      </c>
      <c r="H54">
        <f t="shared" si="0"/>
        <v>40000</v>
      </c>
    </row>
    <row r="55" spans="1:8" x14ac:dyDescent="0.25">
      <c r="A55">
        <v>54</v>
      </c>
      <c r="B55" t="s">
        <v>16</v>
      </c>
      <c r="C55" t="s">
        <v>17</v>
      </c>
      <c r="D55" s="2">
        <v>45690</v>
      </c>
      <c r="E55" t="s">
        <v>15</v>
      </c>
      <c r="F55">
        <v>6</v>
      </c>
      <c r="G55">
        <v>8000</v>
      </c>
      <c r="H55">
        <f t="shared" si="0"/>
        <v>48000</v>
      </c>
    </row>
    <row r="56" spans="1:8" x14ac:dyDescent="0.25">
      <c r="A56">
        <v>55</v>
      </c>
      <c r="B56" t="s">
        <v>19</v>
      </c>
      <c r="C56" t="s">
        <v>20</v>
      </c>
      <c r="D56" s="2">
        <v>45691</v>
      </c>
      <c r="E56" t="s">
        <v>10</v>
      </c>
      <c r="F56">
        <v>11</v>
      </c>
      <c r="G56">
        <v>150</v>
      </c>
      <c r="H56">
        <f t="shared" si="0"/>
        <v>1650</v>
      </c>
    </row>
    <row r="57" spans="1:8" x14ac:dyDescent="0.25">
      <c r="A57">
        <v>56</v>
      </c>
      <c r="B57" t="s">
        <v>19</v>
      </c>
      <c r="C57" t="s">
        <v>20</v>
      </c>
      <c r="D57" s="2">
        <v>45691</v>
      </c>
      <c r="E57" t="s">
        <v>11</v>
      </c>
      <c r="F57">
        <v>12</v>
      </c>
      <c r="G57">
        <v>350</v>
      </c>
      <c r="H57">
        <f t="shared" si="0"/>
        <v>4200</v>
      </c>
    </row>
    <row r="58" spans="1:8" x14ac:dyDescent="0.25">
      <c r="A58">
        <v>57</v>
      </c>
      <c r="B58" t="s">
        <v>19</v>
      </c>
      <c r="C58" t="s">
        <v>20</v>
      </c>
      <c r="D58" s="2">
        <v>45691</v>
      </c>
      <c r="E58" t="s">
        <v>12</v>
      </c>
      <c r="F58">
        <v>15</v>
      </c>
      <c r="G58">
        <v>1800</v>
      </c>
      <c r="H58">
        <f t="shared" si="0"/>
        <v>27000</v>
      </c>
    </row>
    <row r="59" spans="1:8" x14ac:dyDescent="0.25">
      <c r="A59">
        <v>58</v>
      </c>
      <c r="B59" t="s">
        <v>19</v>
      </c>
      <c r="C59" t="s">
        <v>20</v>
      </c>
      <c r="D59" s="2">
        <v>45691</v>
      </c>
      <c r="E59" t="s">
        <v>13</v>
      </c>
      <c r="F59">
        <v>5</v>
      </c>
      <c r="G59">
        <v>2300</v>
      </c>
      <c r="H59">
        <f t="shared" si="0"/>
        <v>11500</v>
      </c>
    </row>
    <row r="60" spans="1:8" x14ac:dyDescent="0.25">
      <c r="A60">
        <v>59</v>
      </c>
      <c r="B60" t="s">
        <v>19</v>
      </c>
      <c r="C60" t="s">
        <v>20</v>
      </c>
      <c r="D60" s="2">
        <v>45691</v>
      </c>
      <c r="E60" t="s">
        <v>14</v>
      </c>
      <c r="F60">
        <v>5</v>
      </c>
      <c r="G60">
        <v>4000</v>
      </c>
      <c r="H60">
        <f t="shared" si="0"/>
        <v>20000</v>
      </c>
    </row>
    <row r="61" spans="1:8" x14ac:dyDescent="0.25">
      <c r="A61">
        <v>60</v>
      </c>
      <c r="B61" t="s">
        <v>19</v>
      </c>
      <c r="C61" t="s">
        <v>20</v>
      </c>
      <c r="D61" s="2">
        <v>45691</v>
      </c>
      <c r="E61" t="s">
        <v>15</v>
      </c>
      <c r="F61">
        <v>5</v>
      </c>
      <c r="G61">
        <v>8000</v>
      </c>
      <c r="H61">
        <f t="shared" si="0"/>
        <v>40000</v>
      </c>
    </row>
    <row r="62" spans="1:8" x14ac:dyDescent="0.25">
      <c r="A62">
        <v>61</v>
      </c>
      <c r="B62" t="s">
        <v>21</v>
      </c>
      <c r="C62" t="s">
        <v>9</v>
      </c>
      <c r="D62" s="2">
        <v>45692</v>
      </c>
      <c r="E62" t="s">
        <v>10</v>
      </c>
      <c r="F62">
        <v>5</v>
      </c>
      <c r="G62">
        <v>150</v>
      </c>
      <c r="H62">
        <f t="shared" si="0"/>
        <v>750</v>
      </c>
    </row>
    <row r="63" spans="1:8" x14ac:dyDescent="0.25">
      <c r="A63">
        <v>62</v>
      </c>
      <c r="B63" t="s">
        <v>21</v>
      </c>
      <c r="C63" t="s">
        <v>9</v>
      </c>
      <c r="D63" s="2">
        <v>45692</v>
      </c>
      <c r="E63" t="s">
        <v>11</v>
      </c>
      <c r="F63">
        <v>14</v>
      </c>
      <c r="G63">
        <v>350</v>
      </c>
      <c r="H63">
        <f t="shared" si="0"/>
        <v>4900</v>
      </c>
    </row>
    <row r="64" spans="1:8" x14ac:dyDescent="0.25">
      <c r="A64">
        <v>63</v>
      </c>
      <c r="B64" t="s">
        <v>21</v>
      </c>
      <c r="C64" t="s">
        <v>9</v>
      </c>
      <c r="D64" s="2">
        <v>45692</v>
      </c>
      <c r="E64" t="s">
        <v>12</v>
      </c>
      <c r="F64">
        <v>15</v>
      </c>
      <c r="G64">
        <v>1800</v>
      </c>
      <c r="H64">
        <f t="shared" si="0"/>
        <v>27000</v>
      </c>
    </row>
    <row r="65" spans="1:8" x14ac:dyDescent="0.25">
      <c r="A65">
        <v>64</v>
      </c>
      <c r="B65" t="s">
        <v>21</v>
      </c>
      <c r="C65" t="s">
        <v>9</v>
      </c>
      <c r="D65" s="2">
        <v>45692</v>
      </c>
      <c r="E65" t="s">
        <v>13</v>
      </c>
      <c r="F65">
        <v>4</v>
      </c>
      <c r="G65">
        <v>2300</v>
      </c>
      <c r="H65">
        <f t="shared" si="0"/>
        <v>9200</v>
      </c>
    </row>
    <row r="66" spans="1:8" x14ac:dyDescent="0.25">
      <c r="A66">
        <v>65</v>
      </c>
      <c r="B66" t="s">
        <v>21</v>
      </c>
      <c r="C66" t="s">
        <v>9</v>
      </c>
      <c r="D66" s="2">
        <v>45692</v>
      </c>
      <c r="E66" t="s">
        <v>14</v>
      </c>
      <c r="F66">
        <v>7</v>
      </c>
      <c r="G66">
        <v>4000</v>
      </c>
      <c r="H66">
        <f t="shared" si="0"/>
        <v>28000</v>
      </c>
    </row>
    <row r="67" spans="1:8" x14ac:dyDescent="0.25">
      <c r="A67">
        <v>66</v>
      </c>
      <c r="B67" t="s">
        <v>21</v>
      </c>
      <c r="C67" t="s">
        <v>9</v>
      </c>
      <c r="D67" s="2">
        <v>45692</v>
      </c>
      <c r="E67" t="s">
        <v>15</v>
      </c>
      <c r="F67">
        <v>16</v>
      </c>
      <c r="G67">
        <v>8000</v>
      </c>
      <c r="H67">
        <f t="shared" ref="H67:H130" si="1">F67*G67</f>
        <v>128000</v>
      </c>
    </row>
    <row r="68" spans="1:8" x14ac:dyDescent="0.25">
      <c r="A68">
        <v>67</v>
      </c>
      <c r="B68" t="s">
        <v>22</v>
      </c>
      <c r="C68" t="s">
        <v>20</v>
      </c>
      <c r="D68" s="2">
        <v>45693</v>
      </c>
      <c r="E68" t="s">
        <v>10</v>
      </c>
      <c r="F68">
        <v>10</v>
      </c>
      <c r="G68">
        <v>150</v>
      </c>
      <c r="H68">
        <f t="shared" si="1"/>
        <v>1500</v>
      </c>
    </row>
    <row r="69" spans="1:8" x14ac:dyDescent="0.25">
      <c r="A69">
        <v>68</v>
      </c>
      <c r="B69" t="s">
        <v>22</v>
      </c>
      <c r="C69" t="s">
        <v>20</v>
      </c>
      <c r="D69" s="2">
        <v>45693</v>
      </c>
      <c r="E69" t="s">
        <v>11</v>
      </c>
      <c r="F69">
        <v>10</v>
      </c>
      <c r="G69">
        <v>350</v>
      </c>
      <c r="H69">
        <f t="shared" si="1"/>
        <v>3500</v>
      </c>
    </row>
    <row r="70" spans="1:8" x14ac:dyDescent="0.25">
      <c r="A70">
        <v>69</v>
      </c>
      <c r="B70" t="s">
        <v>22</v>
      </c>
      <c r="C70" t="s">
        <v>20</v>
      </c>
      <c r="D70" s="2">
        <v>45693</v>
      </c>
      <c r="E70" t="s">
        <v>12</v>
      </c>
      <c r="F70">
        <v>12</v>
      </c>
      <c r="G70">
        <v>1800</v>
      </c>
      <c r="H70">
        <f t="shared" si="1"/>
        <v>21600</v>
      </c>
    </row>
    <row r="71" spans="1:8" x14ac:dyDescent="0.25">
      <c r="A71">
        <v>70</v>
      </c>
      <c r="B71" t="s">
        <v>22</v>
      </c>
      <c r="C71" t="s">
        <v>20</v>
      </c>
      <c r="D71" s="2">
        <v>45693</v>
      </c>
      <c r="E71" t="s">
        <v>13</v>
      </c>
      <c r="F71">
        <v>8</v>
      </c>
      <c r="G71">
        <v>2300</v>
      </c>
      <c r="H71">
        <f t="shared" si="1"/>
        <v>18400</v>
      </c>
    </row>
    <row r="72" spans="1:8" x14ac:dyDescent="0.25">
      <c r="A72">
        <v>71</v>
      </c>
      <c r="B72" t="s">
        <v>22</v>
      </c>
      <c r="C72" t="s">
        <v>20</v>
      </c>
      <c r="D72" s="2">
        <v>45693</v>
      </c>
      <c r="E72" t="s">
        <v>14</v>
      </c>
      <c r="F72">
        <v>11</v>
      </c>
      <c r="G72">
        <v>4000</v>
      </c>
      <c r="H72">
        <f t="shared" si="1"/>
        <v>44000</v>
      </c>
    </row>
    <row r="73" spans="1:8" x14ac:dyDescent="0.25">
      <c r="A73">
        <v>72</v>
      </c>
      <c r="B73" t="s">
        <v>22</v>
      </c>
      <c r="C73" t="s">
        <v>20</v>
      </c>
      <c r="D73" s="2">
        <v>45693</v>
      </c>
      <c r="E73" t="s">
        <v>15</v>
      </c>
      <c r="F73">
        <v>16</v>
      </c>
      <c r="G73">
        <v>8000</v>
      </c>
      <c r="H73">
        <f t="shared" si="1"/>
        <v>128000</v>
      </c>
    </row>
    <row r="74" spans="1:8" x14ac:dyDescent="0.25">
      <c r="A74">
        <v>73</v>
      </c>
      <c r="B74" t="s">
        <v>8</v>
      </c>
      <c r="C74" t="s">
        <v>9</v>
      </c>
      <c r="D74" s="2">
        <v>45717</v>
      </c>
      <c r="E74" t="s">
        <v>10</v>
      </c>
      <c r="F74">
        <v>5</v>
      </c>
      <c r="G74">
        <v>150</v>
      </c>
      <c r="H74">
        <f t="shared" si="1"/>
        <v>750</v>
      </c>
    </row>
    <row r="75" spans="1:8" x14ac:dyDescent="0.25">
      <c r="A75">
        <v>74</v>
      </c>
      <c r="B75" t="s">
        <v>8</v>
      </c>
      <c r="C75" t="s">
        <v>9</v>
      </c>
      <c r="D75" s="2">
        <v>45717</v>
      </c>
      <c r="E75" t="s">
        <v>11</v>
      </c>
      <c r="F75">
        <v>12</v>
      </c>
      <c r="G75">
        <v>350</v>
      </c>
      <c r="H75">
        <f t="shared" si="1"/>
        <v>4200</v>
      </c>
    </row>
    <row r="76" spans="1:8" x14ac:dyDescent="0.25">
      <c r="A76">
        <v>75</v>
      </c>
      <c r="B76" t="s">
        <v>8</v>
      </c>
      <c r="C76" t="s">
        <v>9</v>
      </c>
      <c r="D76" s="2">
        <v>45717</v>
      </c>
      <c r="E76" t="s">
        <v>12</v>
      </c>
      <c r="F76">
        <v>14</v>
      </c>
      <c r="G76">
        <v>1800</v>
      </c>
      <c r="H76">
        <f t="shared" si="1"/>
        <v>25200</v>
      </c>
    </row>
    <row r="77" spans="1:8" x14ac:dyDescent="0.25">
      <c r="A77">
        <v>76</v>
      </c>
      <c r="B77" t="s">
        <v>8</v>
      </c>
      <c r="C77" t="s">
        <v>9</v>
      </c>
      <c r="D77" s="2">
        <v>45717</v>
      </c>
      <c r="E77" t="s">
        <v>13</v>
      </c>
      <c r="F77">
        <v>8</v>
      </c>
      <c r="G77">
        <v>2300</v>
      </c>
      <c r="H77">
        <f t="shared" si="1"/>
        <v>18400</v>
      </c>
    </row>
    <row r="78" spans="1:8" x14ac:dyDescent="0.25">
      <c r="A78">
        <v>77</v>
      </c>
      <c r="B78" t="s">
        <v>8</v>
      </c>
      <c r="C78" t="s">
        <v>9</v>
      </c>
      <c r="D78" s="2">
        <v>45717</v>
      </c>
      <c r="E78" t="s">
        <v>14</v>
      </c>
      <c r="F78">
        <v>16</v>
      </c>
      <c r="G78">
        <v>4000</v>
      </c>
      <c r="H78">
        <f t="shared" si="1"/>
        <v>64000</v>
      </c>
    </row>
    <row r="79" spans="1:8" x14ac:dyDescent="0.25">
      <c r="A79">
        <v>78</v>
      </c>
      <c r="B79" t="s">
        <v>8</v>
      </c>
      <c r="C79" t="s">
        <v>9</v>
      </c>
      <c r="D79" s="2">
        <v>45717</v>
      </c>
      <c r="E79" t="s">
        <v>15</v>
      </c>
      <c r="F79">
        <v>15</v>
      </c>
      <c r="G79">
        <v>8000</v>
      </c>
      <c r="H79">
        <f t="shared" si="1"/>
        <v>120000</v>
      </c>
    </row>
    <row r="80" spans="1:8" x14ac:dyDescent="0.25">
      <c r="A80">
        <v>79</v>
      </c>
      <c r="B80" t="s">
        <v>16</v>
      </c>
      <c r="C80" t="s">
        <v>17</v>
      </c>
      <c r="D80" s="2">
        <v>45718</v>
      </c>
      <c r="E80" t="s">
        <v>10</v>
      </c>
      <c r="F80">
        <v>4</v>
      </c>
      <c r="G80">
        <v>150</v>
      </c>
      <c r="H80">
        <f t="shared" si="1"/>
        <v>600</v>
      </c>
    </row>
    <row r="81" spans="1:8" x14ac:dyDescent="0.25">
      <c r="A81">
        <v>80</v>
      </c>
      <c r="B81" t="s">
        <v>18</v>
      </c>
      <c r="C81" t="s">
        <v>17</v>
      </c>
      <c r="D81" s="2">
        <v>45718</v>
      </c>
      <c r="E81" t="s">
        <v>10</v>
      </c>
      <c r="F81">
        <v>4</v>
      </c>
      <c r="G81">
        <v>150</v>
      </c>
      <c r="H81">
        <f t="shared" si="1"/>
        <v>600</v>
      </c>
    </row>
    <row r="82" spans="1:8" x14ac:dyDescent="0.25">
      <c r="A82">
        <v>81</v>
      </c>
      <c r="B82" t="s">
        <v>16</v>
      </c>
      <c r="C82" t="s">
        <v>17</v>
      </c>
      <c r="D82" s="2">
        <v>45718</v>
      </c>
      <c r="E82" t="s">
        <v>11</v>
      </c>
      <c r="F82">
        <v>12</v>
      </c>
      <c r="G82">
        <v>350</v>
      </c>
      <c r="H82">
        <f t="shared" si="1"/>
        <v>4200</v>
      </c>
    </row>
    <row r="83" spans="1:8" x14ac:dyDescent="0.25">
      <c r="A83">
        <v>82</v>
      </c>
      <c r="B83" t="s">
        <v>18</v>
      </c>
      <c r="C83" t="s">
        <v>17</v>
      </c>
      <c r="D83" s="2">
        <v>45718</v>
      </c>
      <c r="E83" t="s">
        <v>11</v>
      </c>
      <c r="F83">
        <v>4</v>
      </c>
      <c r="G83">
        <v>350</v>
      </c>
      <c r="H83">
        <f t="shared" si="1"/>
        <v>1400</v>
      </c>
    </row>
    <row r="84" spans="1:8" x14ac:dyDescent="0.25">
      <c r="A84">
        <v>83</v>
      </c>
      <c r="B84" t="s">
        <v>16</v>
      </c>
      <c r="C84" t="s">
        <v>17</v>
      </c>
      <c r="D84" s="2">
        <v>45718</v>
      </c>
      <c r="E84" t="s">
        <v>12</v>
      </c>
      <c r="F84">
        <v>5</v>
      </c>
      <c r="G84">
        <v>1800</v>
      </c>
      <c r="H84">
        <f t="shared" si="1"/>
        <v>9000</v>
      </c>
    </row>
    <row r="85" spans="1:8" x14ac:dyDescent="0.25">
      <c r="A85">
        <v>84</v>
      </c>
      <c r="B85" t="s">
        <v>18</v>
      </c>
      <c r="C85" t="s">
        <v>17</v>
      </c>
      <c r="D85" s="2">
        <v>45718</v>
      </c>
      <c r="E85" t="s">
        <v>12</v>
      </c>
      <c r="F85">
        <v>5</v>
      </c>
      <c r="G85">
        <v>1800</v>
      </c>
      <c r="H85">
        <f t="shared" si="1"/>
        <v>9000</v>
      </c>
    </row>
    <row r="86" spans="1:8" x14ac:dyDescent="0.25">
      <c r="A86">
        <v>85</v>
      </c>
      <c r="B86" t="s">
        <v>16</v>
      </c>
      <c r="C86" t="s">
        <v>17</v>
      </c>
      <c r="D86" s="2">
        <v>45718</v>
      </c>
      <c r="E86" t="s">
        <v>13</v>
      </c>
      <c r="F86">
        <v>15</v>
      </c>
      <c r="G86">
        <v>2300</v>
      </c>
      <c r="H86">
        <f t="shared" si="1"/>
        <v>34500</v>
      </c>
    </row>
    <row r="87" spans="1:8" x14ac:dyDescent="0.25">
      <c r="A87">
        <v>86</v>
      </c>
      <c r="B87" t="s">
        <v>18</v>
      </c>
      <c r="C87" t="s">
        <v>17</v>
      </c>
      <c r="D87" s="2">
        <v>45718</v>
      </c>
      <c r="E87" t="s">
        <v>13</v>
      </c>
      <c r="F87">
        <v>11</v>
      </c>
      <c r="G87">
        <v>2300</v>
      </c>
      <c r="H87">
        <f t="shared" si="1"/>
        <v>25300</v>
      </c>
    </row>
    <row r="88" spans="1:8" x14ac:dyDescent="0.25">
      <c r="A88">
        <v>87</v>
      </c>
      <c r="B88" t="s">
        <v>16</v>
      </c>
      <c r="C88" t="s">
        <v>17</v>
      </c>
      <c r="D88" s="2">
        <v>45718</v>
      </c>
      <c r="E88" t="s">
        <v>14</v>
      </c>
      <c r="F88">
        <v>8</v>
      </c>
      <c r="G88">
        <v>4000</v>
      </c>
      <c r="H88">
        <f t="shared" si="1"/>
        <v>32000</v>
      </c>
    </row>
    <row r="89" spans="1:8" x14ac:dyDescent="0.25">
      <c r="A89">
        <v>88</v>
      </c>
      <c r="B89" t="s">
        <v>18</v>
      </c>
      <c r="C89" t="s">
        <v>17</v>
      </c>
      <c r="D89" s="2">
        <v>45718</v>
      </c>
      <c r="E89" t="s">
        <v>14</v>
      </c>
      <c r="F89">
        <v>15</v>
      </c>
      <c r="G89">
        <v>4000</v>
      </c>
      <c r="H89">
        <f t="shared" si="1"/>
        <v>60000</v>
      </c>
    </row>
    <row r="90" spans="1:8" x14ac:dyDescent="0.25">
      <c r="A90">
        <v>89</v>
      </c>
      <c r="B90" t="s">
        <v>18</v>
      </c>
      <c r="C90" t="s">
        <v>17</v>
      </c>
      <c r="D90" s="2">
        <v>45718</v>
      </c>
      <c r="E90" t="s">
        <v>15</v>
      </c>
      <c r="F90">
        <v>6</v>
      </c>
      <c r="G90">
        <v>8000</v>
      </c>
      <c r="H90">
        <f t="shared" si="1"/>
        <v>48000</v>
      </c>
    </row>
    <row r="91" spans="1:8" x14ac:dyDescent="0.25">
      <c r="A91">
        <v>90</v>
      </c>
      <c r="B91" t="s">
        <v>16</v>
      </c>
      <c r="C91" t="s">
        <v>17</v>
      </c>
      <c r="D91" s="2">
        <v>45718</v>
      </c>
      <c r="E91" t="s">
        <v>15</v>
      </c>
      <c r="F91">
        <v>8</v>
      </c>
      <c r="G91">
        <v>8000</v>
      </c>
      <c r="H91">
        <f t="shared" si="1"/>
        <v>64000</v>
      </c>
    </row>
    <row r="92" spans="1:8" x14ac:dyDescent="0.25">
      <c r="A92">
        <v>91</v>
      </c>
      <c r="B92" t="s">
        <v>19</v>
      </c>
      <c r="C92" t="s">
        <v>20</v>
      </c>
      <c r="D92" s="2">
        <v>45719</v>
      </c>
      <c r="E92" t="s">
        <v>10</v>
      </c>
      <c r="F92">
        <v>5</v>
      </c>
      <c r="G92">
        <v>150</v>
      </c>
      <c r="H92">
        <f t="shared" si="1"/>
        <v>750</v>
      </c>
    </row>
    <row r="93" spans="1:8" x14ac:dyDescent="0.25">
      <c r="A93">
        <v>92</v>
      </c>
      <c r="B93" t="s">
        <v>19</v>
      </c>
      <c r="C93" t="s">
        <v>20</v>
      </c>
      <c r="D93" s="2">
        <v>45719</v>
      </c>
      <c r="E93" t="s">
        <v>11</v>
      </c>
      <c r="F93">
        <v>6</v>
      </c>
      <c r="G93">
        <v>350</v>
      </c>
      <c r="H93">
        <f t="shared" si="1"/>
        <v>2100</v>
      </c>
    </row>
    <row r="94" spans="1:8" x14ac:dyDescent="0.25">
      <c r="A94">
        <v>93</v>
      </c>
      <c r="B94" t="s">
        <v>19</v>
      </c>
      <c r="C94" t="s">
        <v>20</v>
      </c>
      <c r="D94" s="2">
        <v>45719</v>
      </c>
      <c r="E94" t="s">
        <v>12</v>
      </c>
      <c r="F94">
        <v>12</v>
      </c>
      <c r="G94">
        <v>1800</v>
      </c>
      <c r="H94">
        <f t="shared" si="1"/>
        <v>21600</v>
      </c>
    </row>
    <row r="95" spans="1:8" x14ac:dyDescent="0.25">
      <c r="A95">
        <v>94</v>
      </c>
      <c r="B95" t="s">
        <v>19</v>
      </c>
      <c r="C95" t="s">
        <v>20</v>
      </c>
      <c r="D95" s="2">
        <v>45719</v>
      </c>
      <c r="E95" t="s">
        <v>13</v>
      </c>
      <c r="F95">
        <v>6</v>
      </c>
      <c r="G95">
        <v>2300</v>
      </c>
      <c r="H95">
        <f t="shared" si="1"/>
        <v>13800</v>
      </c>
    </row>
    <row r="96" spans="1:8" x14ac:dyDescent="0.25">
      <c r="A96">
        <v>95</v>
      </c>
      <c r="B96" t="s">
        <v>19</v>
      </c>
      <c r="C96" t="s">
        <v>20</v>
      </c>
      <c r="D96" s="2">
        <v>45719</v>
      </c>
      <c r="E96" t="s">
        <v>14</v>
      </c>
      <c r="F96">
        <v>8</v>
      </c>
      <c r="G96">
        <v>4000</v>
      </c>
      <c r="H96">
        <f t="shared" si="1"/>
        <v>32000</v>
      </c>
    </row>
    <row r="97" spans="1:8" x14ac:dyDescent="0.25">
      <c r="A97">
        <v>96</v>
      </c>
      <c r="B97" t="s">
        <v>19</v>
      </c>
      <c r="C97" t="s">
        <v>20</v>
      </c>
      <c r="D97" s="2">
        <v>45719</v>
      </c>
      <c r="E97" t="s">
        <v>15</v>
      </c>
      <c r="F97">
        <v>15</v>
      </c>
      <c r="G97">
        <v>8000</v>
      </c>
      <c r="H97">
        <f t="shared" si="1"/>
        <v>120000</v>
      </c>
    </row>
    <row r="98" spans="1:8" x14ac:dyDescent="0.25">
      <c r="A98">
        <v>97</v>
      </c>
      <c r="B98" t="s">
        <v>21</v>
      </c>
      <c r="C98" t="s">
        <v>9</v>
      </c>
      <c r="D98" s="2">
        <v>45720</v>
      </c>
      <c r="E98" t="s">
        <v>10</v>
      </c>
      <c r="F98">
        <v>10</v>
      </c>
      <c r="G98">
        <v>150</v>
      </c>
      <c r="H98">
        <f t="shared" si="1"/>
        <v>1500</v>
      </c>
    </row>
    <row r="99" spans="1:8" x14ac:dyDescent="0.25">
      <c r="A99">
        <v>98</v>
      </c>
      <c r="B99" t="s">
        <v>21</v>
      </c>
      <c r="C99" t="s">
        <v>9</v>
      </c>
      <c r="D99" s="2">
        <v>45720</v>
      </c>
      <c r="E99" t="s">
        <v>11</v>
      </c>
      <c r="F99">
        <v>9</v>
      </c>
      <c r="G99">
        <v>350</v>
      </c>
      <c r="H99">
        <f t="shared" si="1"/>
        <v>3150</v>
      </c>
    </row>
    <row r="100" spans="1:8" x14ac:dyDescent="0.25">
      <c r="A100">
        <v>99</v>
      </c>
      <c r="B100" t="s">
        <v>21</v>
      </c>
      <c r="C100" t="s">
        <v>9</v>
      </c>
      <c r="D100" s="2">
        <v>45720</v>
      </c>
      <c r="E100" t="s">
        <v>12</v>
      </c>
      <c r="F100">
        <v>9</v>
      </c>
      <c r="G100">
        <v>1800</v>
      </c>
      <c r="H100">
        <f t="shared" si="1"/>
        <v>16200</v>
      </c>
    </row>
    <row r="101" spans="1:8" x14ac:dyDescent="0.25">
      <c r="A101">
        <v>100</v>
      </c>
      <c r="B101" t="s">
        <v>21</v>
      </c>
      <c r="C101" t="s">
        <v>9</v>
      </c>
      <c r="D101" s="2">
        <v>45720</v>
      </c>
      <c r="E101" t="s">
        <v>13</v>
      </c>
      <c r="F101">
        <v>16</v>
      </c>
      <c r="G101">
        <v>2300</v>
      </c>
      <c r="H101">
        <f t="shared" si="1"/>
        <v>36800</v>
      </c>
    </row>
    <row r="102" spans="1:8" x14ac:dyDescent="0.25">
      <c r="A102">
        <v>101</v>
      </c>
      <c r="B102" t="s">
        <v>21</v>
      </c>
      <c r="C102" t="s">
        <v>9</v>
      </c>
      <c r="D102" s="2">
        <v>45720</v>
      </c>
      <c r="E102" t="s">
        <v>14</v>
      </c>
      <c r="F102">
        <v>11</v>
      </c>
      <c r="G102">
        <v>4000</v>
      </c>
      <c r="H102">
        <f t="shared" si="1"/>
        <v>44000</v>
      </c>
    </row>
    <row r="103" spans="1:8" x14ac:dyDescent="0.25">
      <c r="A103">
        <v>102</v>
      </c>
      <c r="B103" t="s">
        <v>21</v>
      </c>
      <c r="C103" t="s">
        <v>9</v>
      </c>
      <c r="D103" s="2">
        <v>45720</v>
      </c>
      <c r="E103" t="s">
        <v>15</v>
      </c>
      <c r="F103">
        <v>8</v>
      </c>
      <c r="G103">
        <v>8000</v>
      </c>
      <c r="H103">
        <f t="shared" si="1"/>
        <v>64000</v>
      </c>
    </row>
    <row r="104" spans="1:8" x14ac:dyDescent="0.25">
      <c r="A104">
        <v>103</v>
      </c>
      <c r="B104" t="s">
        <v>22</v>
      </c>
      <c r="C104" t="s">
        <v>20</v>
      </c>
      <c r="D104" s="2">
        <v>45721</v>
      </c>
      <c r="E104" t="s">
        <v>10</v>
      </c>
      <c r="F104">
        <v>11</v>
      </c>
      <c r="G104">
        <v>150</v>
      </c>
      <c r="H104">
        <f t="shared" si="1"/>
        <v>1650</v>
      </c>
    </row>
    <row r="105" spans="1:8" x14ac:dyDescent="0.25">
      <c r="A105">
        <v>104</v>
      </c>
      <c r="B105" t="s">
        <v>22</v>
      </c>
      <c r="C105" t="s">
        <v>20</v>
      </c>
      <c r="D105" s="2">
        <v>45721</v>
      </c>
      <c r="E105" t="s">
        <v>11</v>
      </c>
      <c r="F105">
        <v>4</v>
      </c>
      <c r="G105">
        <v>350</v>
      </c>
      <c r="H105">
        <f t="shared" si="1"/>
        <v>1400</v>
      </c>
    </row>
    <row r="106" spans="1:8" x14ac:dyDescent="0.25">
      <c r="A106">
        <v>105</v>
      </c>
      <c r="B106" t="s">
        <v>22</v>
      </c>
      <c r="C106" t="s">
        <v>20</v>
      </c>
      <c r="D106" s="2">
        <v>45721</v>
      </c>
      <c r="E106" t="s">
        <v>12</v>
      </c>
      <c r="F106">
        <v>15</v>
      </c>
      <c r="G106">
        <v>1800</v>
      </c>
      <c r="H106">
        <f t="shared" si="1"/>
        <v>27000</v>
      </c>
    </row>
    <row r="107" spans="1:8" x14ac:dyDescent="0.25">
      <c r="A107">
        <v>106</v>
      </c>
      <c r="B107" t="s">
        <v>22</v>
      </c>
      <c r="C107" t="s">
        <v>20</v>
      </c>
      <c r="D107" s="2">
        <v>45721</v>
      </c>
      <c r="E107" t="s">
        <v>13</v>
      </c>
      <c r="F107">
        <v>11</v>
      </c>
      <c r="G107">
        <v>2300</v>
      </c>
      <c r="H107">
        <f t="shared" si="1"/>
        <v>25300</v>
      </c>
    </row>
    <row r="108" spans="1:8" x14ac:dyDescent="0.25">
      <c r="A108">
        <v>107</v>
      </c>
      <c r="B108" t="s">
        <v>22</v>
      </c>
      <c r="C108" t="s">
        <v>20</v>
      </c>
      <c r="D108" s="2">
        <v>45721</v>
      </c>
      <c r="E108" t="s">
        <v>14</v>
      </c>
      <c r="F108">
        <v>14</v>
      </c>
      <c r="G108">
        <v>4000</v>
      </c>
      <c r="H108">
        <f t="shared" si="1"/>
        <v>56000</v>
      </c>
    </row>
    <row r="109" spans="1:8" x14ac:dyDescent="0.25">
      <c r="A109">
        <v>108</v>
      </c>
      <c r="B109" t="s">
        <v>22</v>
      </c>
      <c r="C109" t="s">
        <v>20</v>
      </c>
      <c r="D109" s="2">
        <v>45721</v>
      </c>
      <c r="E109" t="s">
        <v>15</v>
      </c>
      <c r="F109">
        <v>15</v>
      </c>
      <c r="G109">
        <v>8000</v>
      </c>
      <c r="H109">
        <f t="shared" si="1"/>
        <v>120000</v>
      </c>
    </row>
    <row r="110" spans="1:8" x14ac:dyDescent="0.25">
      <c r="A110">
        <v>109</v>
      </c>
      <c r="B110" t="s">
        <v>8</v>
      </c>
      <c r="C110" t="s">
        <v>9</v>
      </c>
      <c r="D110" s="2">
        <v>45748</v>
      </c>
      <c r="E110" t="s">
        <v>10</v>
      </c>
      <c r="F110">
        <v>4</v>
      </c>
      <c r="G110">
        <v>150</v>
      </c>
      <c r="H110">
        <f t="shared" si="1"/>
        <v>600</v>
      </c>
    </row>
    <row r="111" spans="1:8" x14ac:dyDescent="0.25">
      <c r="A111">
        <v>110</v>
      </c>
      <c r="B111" t="s">
        <v>8</v>
      </c>
      <c r="C111" t="s">
        <v>9</v>
      </c>
      <c r="D111" s="2">
        <v>45748</v>
      </c>
      <c r="E111" t="s">
        <v>11</v>
      </c>
      <c r="F111">
        <v>7</v>
      </c>
      <c r="G111">
        <v>350</v>
      </c>
      <c r="H111">
        <f t="shared" si="1"/>
        <v>2450</v>
      </c>
    </row>
    <row r="112" spans="1:8" x14ac:dyDescent="0.25">
      <c r="A112">
        <v>111</v>
      </c>
      <c r="B112" t="s">
        <v>8</v>
      </c>
      <c r="C112" t="s">
        <v>9</v>
      </c>
      <c r="D112" s="2">
        <v>45748</v>
      </c>
      <c r="E112" t="s">
        <v>12</v>
      </c>
      <c r="F112">
        <v>12</v>
      </c>
      <c r="G112">
        <v>1800</v>
      </c>
      <c r="H112">
        <f t="shared" si="1"/>
        <v>21600</v>
      </c>
    </row>
    <row r="113" spans="1:8" x14ac:dyDescent="0.25">
      <c r="A113">
        <v>112</v>
      </c>
      <c r="B113" t="s">
        <v>8</v>
      </c>
      <c r="C113" t="s">
        <v>9</v>
      </c>
      <c r="D113" s="2">
        <v>45748</v>
      </c>
      <c r="E113" t="s">
        <v>13</v>
      </c>
      <c r="F113">
        <v>15</v>
      </c>
      <c r="G113">
        <v>2300</v>
      </c>
      <c r="H113">
        <f t="shared" si="1"/>
        <v>34500</v>
      </c>
    </row>
    <row r="114" spans="1:8" x14ac:dyDescent="0.25">
      <c r="A114">
        <v>113</v>
      </c>
      <c r="B114" t="s">
        <v>8</v>
      </c>
      <c r="C114" t="s">
        <v>9</v>
      </c>
      <c r="D114" s="2">
        <v>45748</v>
      </c>
      <c r="E114" t="s">
        <v>14</v>
      </c>
      <c r="F114">
        <v>12</v>
      </c>
      <c r="G114">
        <v>4000</v>
      </c>
      <c r="H114">
        <f t="shared" si="1"/>
        <v>48000</v>
      </c>
    </row>
    <row r="115" spans="1:8" x14ac:dyDescent="0.25">
      <c r="A115">
        <v>114</v>
      </c>
      <c r="B115" t="s">
        <v>8</v>
      </c>
      <c r="C115" t="s">
        <v>9</v>
      </c>
      <c r="D115" s="2">
        <v>45748</v>
      </c>
      <c r="E115" t="s">
        <v>15</v>
      </c>
      <c r="F115">
        <v>10</v>
      </c>
      <c r="G115">
        <v>8000</v>
      </c>
      <c r="H115">
        <f t="shared" si="1"/>
        <v>80000</v>
      </c>
    </row>
    <row r="116" spans="1:8" x14ac:dyDescent="0.25">
      <c r="A116">
        <v>115</v>
      </c>
      <c r="B116" t="s">
        <v>16</v>
      </c>
      <c r="C116" t="s">
        <v>17</v>
      </c>
      <c r="D116" s="2">
        <v>45749</v>
      </c>
      <c r="E116" t="s">
        <v>10</v>
      </c>
      <c r="F116">
        <v>14</v>
      </c>
      <c r="G116">
        <v>150</v>
      </c>
      <c r="H116">
        <f t="shared" si="1"/>
        <v>2100</v>
      </c>
    </row>
    <row r="117" spans="1:8" x14ac:dyDescent="0.25">
      <c r="A117">
        <v>116</v>
      </c>
      <c r="B117" t="s">
        <v>18</v>
      </c>
      <c r="C117" t="s">
        <v>17</v>
      </c>
      <c r="D117" s="2">
        <v>45749</v>
      </c>
      <c r="E117" t="s">
        <v>10</v>
      </c>
      <c r="F117">
        <v>11</v>
      </c>
      <c r="G117">
        <v>150</v>
      </c>
      <c r="H117">
        <f t="shared" si="1"/>
        <v>1650</v>
      </c>
    </row>
    <row r="118" spans="1:8" x14ac:dyDescent="0.25">
      <c r="A118">
        <v>117</v>
      </c>
      <c r="B118" t="s">
        <v>16</v>
      </c>
      <c r="C118" t="s">
        <v>17</v>
      </c>
      <c r="D118" s="2">
        <v>45749</v>
      </c>
      <c r="E118" t="s">
        <v>11</v>
      </c>
      <c r="F118">
        <v>9</v>
      </c>
      <c r="G118">
        <v>350</v>
      </c>
      <c r="H118">
        <f t="shared" si="1"/>
        <v>3150</v>
      </c>
    </row>
    <row r="119" spans="1:8" x14ac:dyDescent="0.25">
      <c r="A119">
        <v>118</v>
      </c>
      <c r="B119" t="s">
        <v>18</v>
      </c>
      <c r="C119" t="s">
        <v>17</v>
      </c>
      <c r="D119" s="2">
        <v>45749</v>
      </c>
      <c r="E119" t="s">
        <v>11</v>
      </c>
      <c r="F119">
        <v>4</v>
      </c>
      <c r="G119">
        <v>350</v>
      </c>
      <c r="H119">
        <f t="shared" si="1"/>
        <v>1400</v>
      </c>
    </row>
    <row r="120" spans="1:8" x14ac:dyDescent="0.25">
      <c r="A120">
        <v>119</v>
      </c>
      <c r="B120" t="s">
        <v>16</v>
      </c>
      <c r="C120" t="s">
        <v>17</v>
      </c>
      <c r="D120" s="2">
        <v>45749</v>
      </c>
      <c r="E120" t="s">
        <v>12</v>
      </c>
      <c r="F120">
        <v>15</v>
      </c>
      <c r="G120">
        <v>1800</v>
      </c>
      <c r="H120">
        <f t="shared" si="1"/>
        <v>27000</v>
      </c>
    </row>
    <row r="121" spans="1:8" x14ac:dyDescent="0.25">
      <c r="A121">
        <v>120</v>
      </c>
      <c r="B121" t="s">
        <v>18</v>
      </c>
      <c r="C121" t="s">
        <v>17</v>
      </c>
      <c r="D121" s="2">
        <v>45749</v>
      </c>
      <c r="E121" t="s">
        <v>12</v>
      </c>
      <c r="F121">
        <v>16</v>
      </c>
      <c r="G121">
        <v>1800</v>
      </c>
      <c r="H121">
        <f t="shared" si="1"/>
        <v>28800</v>
      </c>
    </row>
    <row r="122" spans="1:8" x14ac:dyDescent="0.25">
      <c r="A122">
        <v>121</v>
      </c>
      <c r="B122" t="s">
        <v>16</v>
      </c>
      <c r="C122" t="s">
        <v>17</v>
      </c>
      <c r="D122" s="2">
        <v>45749</v>
      </c>
      <c r="E122" t="s">
        <v>13</v>
      </c>
      <c r="F122">
        <v>14</v>
      </c>
      <c r="G122">
        <v>2300</v>
      </c>
      <c r="H122">
        <f t="shared" si="1"/>
        <v>32200</v>
      </c>
    </row>
    <row r="123" spans="1:8" x14ac:dyDescent="0.25">
      <c r="A123">
        <v>122</v>
      </c>
      <c r="B123" t="s">
        <v>18</v>
      </c>
      <c r="C123" t="s">
        <v>17</v>
      </c>
      <c r="D123" s="2">
        <v>45749</v>
      </c>
      <c r="E123" t="s">
        <v>13</v>
      </c>
      <c r="F123">
        <v>14</v>
      </c>
      <c r="G123">
        <v>2300</v>
      </c>
      <c r="H123">
        <f t="shared" si="1"/>
        <v>32200</v>
      </c>
    </row>
    <row r="124" spans="1:8" x14ac:dyDescent="0.25">
      <c r="A124">
        <v>123</v>
      </c>
      <c r="B124" t="s">
        <v>16</v>
      </c>
      <c r="C124" t="s">
        <v>17</v>
      </c>
      <c r="D124" s="2">
        <v>45749</v>
      </c>
      <c r="E124" t="s">
        <v>14</v>
      </c>
      <c r="F124">
        <v>9</v>
      </c>
      <c r="G124">
        <v>4000</v>
      </c>
      <c r="H124">
        <f t="shared" si="1"/>
        <v>36000</v>
      </c>
    </row>
    <row r="125" spans="1:8" x14ac:dyDescent="0.25">
      <c r="A125">
        <v>124</v>
      </c>
      <c r="B125" t="s">
        <v>18</v>
      </c>
      <c r="C125" t="s">
        <v>17</v>
      </c>
      <c r="D125" s="2">
        <v>45749</v>
      </c>
      <c r="E125" t="s">
        <v>14</v>
      </c>
      <c r="F125">
        <v>5</v>
      </c>
      <c r="G125">
        <v>4000</v>
      </c>
      <c r="H125">
        <f t="shared" si="1"/>
        <v>20000</v>
      </c>
    </row>
    <row r="126" spans="1:8" x14ac:dyDescent="0.25">
      <c r="A126">
        <v>125</v>
      </c>
      <c r="B126" t="s">
        <v>18</v>
      </c>
      <c r="C126" t="s">
        <v>17</v>
      </c>
      <c r="D126" s="2">
        <v>45749</v>
      </c>
      <c r="E126" t="s">
        <v>15</v>
      </c>
      <c r="F126">
        <v>15</v>
      </c>
      <c r="G126">
        <v>8000</v>
      </c>
      <c r="H126">
        <f t="shared" si="1"/>
        <v>120000</v>
      </c>
    </row>
    <row r="127" spans="1:8" x14ac:dyDescent="0.25">
      <c r="A127">
        <v>126</v>
      </c>
      <c r="B127" t="s">
        <v>16</v>
      </c>
      <c r="C127" t="s">
        <v>17</v>
      </c>
      <c r="D127" s="2">
        <v>45749</v>
      </c>
      <c r="E127" t="s">
        <v>15</v>
      </c>
      <c r="F127">
        <v>4</v>
      </c>
      <c r="G127">
        <v>8000</v>
      </c>
      <c r="H127">
        <f t="shared" si="1"/>
        <v>32000</v>
      </c>
    </row>
    <row r="128" spans="1:8" x14ac:dyDescent="0.25">
      <c r="A128">
        <v>127</v>
      </c>
      <c r="B128" t="s">
        <v>19</v>
      </c>
      <c r="C128" t="s">
        <v>20</v>
      </c>
      <c r="D128" s="2">
        <v>45750</v>
      </c>
      <c r="E128" t="s">
        <v>10</v>
      </c>
      <c r="F128">
        <v>9</v>
      </c>
      <c r="G128">
        <v>150</v>
      </c>
      <c r="H128">
        <f t="shared" si="1"/>
        <v>1350</v>
      </c>
    </row>
    <row r="129" spans="1:8" x14ac:dyDescent="0.25">
      <c r="A129">
        <v>128</v>
      </c>
      <c r="B129" t="s">
        <v>19</v>
      </c>
      <c r="C129" t="s">
        <v>20</v>
      </c>
      <c r="D129" s="2">
        <v>45750</v>
      </c>
      <c r="E129" t="s">
        <v>11</v>
      </c>
      <c r="F129">
        <v>8</v>
      </c>
      <c r="G129">
        <v>350</v>
      </c>
      <c r="H129">
        <f t="shared" si="1"/>
        <v>2800</v>
      </c>
    </row>
    <row r="130" spans="1:8" x14ac:dyDescent="0.25">
      <c r="A130">
        <v>129</v>
      </c>
      <c r="B130" t="s">
        <v>19</v>
      </c>
      <c r="C130" t="s">
        <v>20</v>
      </c>
      <c r="D130" s="2">
        <v>45750</v>
      </c>
      <c r="E130" t="s">
        <v>12</v>
      </c>
      <c r="F130">
        <v>6</v>
      </c>
      <c r="G130">
        <v>1800</v>
      </c>
      <c r="H130">
        <f t="shared" si="1"/>
        <v>10800</v>
      </c>
    </row>
    <row r="131" spans="1:8" x14ac:dyDescent="0.25">
      <c r="A131">
        <v>130</v>
      </c>
      <c r="B131" t="s">
        <v>19</v>
      </c>
      <c r="C131" t="s">
        <v>20</v>
      </c>
      <c r="D131" s="2">
        <v>45750</v>
      </c>
      <c r="E131" t="s">
        <v>13</v>
      </c>
      <c r="F131">
        <v>12</v>
      </c>
      <c r="G131">
        <v>2300</v>
      </c>
      <c r="H131">
        <f t="shared" ref="H131:H145" si="2">F131*G131</f>
        <v>27600</v>
      </c>
    </row>
    <row r="132" spans="1:8" x14ac:dyDescent="0.25">
      <c r="A132">
        <v>131</v>
      </c>
      <c r="B132" t="s">
        <v>19</v>
      </c>
      <c r="C132" t="s">
        <v>20</v>
      </c>
      <c r="D132" s="2">
        <v>45750</v>
      </c>
      <c r="E132" t="s">
        <v>14</v>
      </c>
      <c r="F132">
        <v>9</v>
      </c>
      <c r="G132">
        <v>4000</v>
      </c>
      <c r="H132">
        <f t="shared" si="2"/>
        <v>36000</v>
      </c>
    </row>
    <row r="133" spans="1:8" x14ac:dyDescent="0.25">
      <c r="A133">
        <v>132</v>
      </c>
      <c r="B133" t="s">
        <v>19</v>
      </c>
      <c r="C133" t="s">
        <v>20</v>
      </c>
      <c r="D133" s="2">
        <v>45750</v>
      </c>
      <c r="E133" t="s">
        <v>15</v>
      </c>
      <c r="F133">
        <v>7</v>
      </c>
      <c r="G133">
        <v>8000</v>
      </c>
      <c r="H133">
        <f t="shared" si="2"/>
        <v>56000</v>
      </c>
    </row>
    <row r="134" spans="1:8" x14ac:dyDescent="0.25">
      <c r="A134">
        <v>133</v>
      </c>
      <c r="B134" t="s">
        <v>21</v>
      </c>
      <c r="C134" t="s">
        <v>9</v>
      </c>
      <c r="D134" s="2">
        <v>45751</v>
      </c>
      <c r="E134" t="s">
        <v>10</v>
      </c>
      <c r="F134">
        <v>15</v>
      </c>
      <c r="G134">
        <v>150</v>
      </c>
      <c r="H134">
        <f t="shared" si="2"/>
        <v>2250</v>
      </c>
    </row>
    <row r="135" spans="1:8" x14ac:dyDescent="0.25">
      <c r="A135">
        <v>134</v>
      </c>
      <c r="B135" t="s">
        <v>21</v>
      </c>
      <c r="C135" t="s">
        <v>9</v>
      </c>
      <c r="D135" s="2">
        <v>45751</v>
      </c>
      <c r="E135" t="s">
        <v>11</v>
      </c>
      <c r="F135">
        <v>13</v>
      </c>
      <c r="G135">
        <v>350</v>
      </c>
      <c r="H135">
        <f t="shared" si="2"/>
        <v>4550</v>
      </c>
    </row>
    <row r="136" spans="1:8" x14ac:dyDescent="0.25">
      <c r="A136">
        <v>135</v>
      </c>
      <c r="B136" t="s">
        <v>21</v>
      </c>
      <c r="C136" t="s">
        <v>9</v>
      </c>
      <c r="D136" s="2">
        <v>45751</v>
      </c>
      <c r="E136" t="s">
        <v>12</v>
      </c>
      <c r="F136">
        <v>10</v>
      </c>
      <c r="G136">
        <v>1800</v>
      </c>
      <c r="H136">
        <f t="shared" si="2"/>
        <v>18000</v>
      </c>
    </row>
    <row r="137" spans="1:8" x14ac:dyDescent="0.25">
      <c r="A137">
        <v>136</v>
      </c>
      <c r="B137" t="s">
        <v>21</v>
      </c>
      <c r="C137" t="s">
        <v>9</v>
      </c>
      <c r="D137" s="2">
        <v>45751</v>
      </c>
      <c r="E137" t="s">
        <v>13</v>
      </c>
      <c r="F137">
        <v>15</v>
      </c>
      <c r="G137">
        <v>2300</v>
      </c>
      <c r="H137">
        <f t="shared" si="2"/>
        <v>34500</v>
      </c>
    </row>
    <row r="138" spans="1:8" x14ac:dyDescent="0.25">
      <c r="A138">
        <v>137</v>
      </c>
      <c r="B138" t="s">
        <v>21</v>
      </c>
      <c r="C138" t="s">
        <v>9</v>
      </c>
      <c r="D138" s="2">
        <v>45751</v>
      </c>
      <c r="E138" t="s">
        <v>14</v>
      </c>
      <c r="F138">
        <v>16</v>
      </c>
      <c r="G138">
        <v>4000</v>
      </c>
      <c r="H138">
        <f t="shared" si="2"/>
        <v>64000</v>
      </c>
    </row>
    <row r="139" spans="1:8" x14ac:dyDescent="0.25">
      <c r="A139">
        <v>138</v>
      </c>
      <c r="B139" t="s">
        <v>21</v>
      </c>
      <c r="C139" t="s">
        <v>9</v>
      </c>
      <c r="D139" s="2">
        <v>45751</v>
      </c>
      <c r="E139" t="s">
        <v>15</v>
      </c>
      <c r="F139">
        <v>9</v>
      </c>
      <c r="G139">
        <v>8000</v>
      </c>
      <c r="H139">
        <f t="shared" si="2"/>
        <v>72000</v>
      </c>
    </row>
    <row r="140" spans="1:8" x14ac:dyDescent="0.25">
      <c r="A140">
        <v>139</v>
      </c>
      <c r="B140" t="s">
        <v>22</v>
      </c>
      <c r="C140" t="s">
        <v>20</v>
      </c>
      <c r="D140" s="2">
        <v>45752</v>
      </c>
      <c r="E140" t="s">
        <v>10</v>
      </c>
      <c r="F140">
        <v>13</v>
      </c>
      <c r="G140">
        <v>150</v>
      </c>
      <c r="H140">
        <f t="shared" si="2"/>
        <v>1950</v>
      </c>
    </row>
    <row r="141" spans="1:8" x14ac:dyDescent="0.25">
      <c r="A141">
        <v>140</v>
      </c>
      <c r="B141" t="s">
        <v>22</v>
      </c>
      <c r="C141" t="s">
        <v>20</v>
      </c>
      <c r="D141" s="2">
        <v>45752</v>
      </c>
      <c r="E141" t="s">
        <v>11</v>
      </c>
      <c r="F141">
        <v>11</v>
      </c>
      <c r="G141">
        <v>350</v>
      </c>
      <c r="H141">
        <f t="shared" si="2"/>
        <v>3850</v>
      </c>
    </row>
    <row r="142" spans="1:8" x14ac:dyDescent="0.25">
      <c r="A142">
        <v>141</v>
      </c>
      <c r="B142" t="s">
        <v>22</v>
      </c>
      <c r="C142" t="s">
        <v>20</v>
      </c>
      <c r="D142" s="2">
        <v>45752</v>
      </c>
      <c r="E142" t="s">
        <v>12</v>
      </c>
      <c r="F142">
        <v>13</v>
      </c>
      <c r="G142">
        <v>1800</v>
      </c>
      <c r="H142">
        <f t="shared" si="2"/>
        <v>23400</v>
      </c>
    </row>
    <row r="143" spans="1:8" x14ac:dyDescent="0.25">
      <c r="A143">
        <v>142</v>
      </c>
      <c r="B143" t="s">
        <v>22</v>
      </c>
      <c r="C143" t="s">
        <v>20</v>
      </c>
      <c r="D143" s="2">
        <v>45752</v>
      </c>
      <c r="E143" t="s">
        <v>13</v>
      </c>
      <c r="F143">
        <v>14</v>
      </c>
      <c r="G143">
        <v>2300</v>
      </c>
      <c r="H143">
        <f t="shared" si="2"/>
        <v>32200</v>
      </c>
    </row>
    <row r="144" spans="1:8" x14ac:dyDescent="0.25">
      <c r="A144">
        <v>143</v>
      </c>
      <c r="B144" t="s">
        <v>22</v>
      </c>
      <c r="C144" t="s">
        <v>20</v>
      </c>
      <c r="D144" s="2">
        <v>45752</v>
      </c>
      <c r="E144" t="s">
        <v>14</v>
      </c>
      <c r="F144">
        <v>13</v>
      </c>
      <c r="G144">
        <v>4000</v>
      </c>
      <c r="H144">
        <f t="shared" si="2"/>
        <v>52000</v>
      </c>
    </row>
    <row r="145" spans="1:8" x14ac:dyDescent="0.25">
      <c r="A145">
        <v>144</v>
      </c>
      <c r="B145" t="s">
        <v>22</v>
      </c>
      <c r="C145" t="s">
        <v>20</v>
      </c>
      <c r="D145" s="2">
        <v>45752</v>
      </c>
      <c r="E145" t="s">
        <v>15</v>
      </c>
      <c r="F145">
        <v>9</v>
      </c>
      <c r="G145">
        <v>8000</v>
      </c>
      <c r="H145">
        <f t="shared" si="2"/>
        <v>72000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59951-CA51-403C-8731-F92CA9F76CB0}">
  <dimension ref="A3:E26"/>
  <sheetViews>
    <sheetView topLeftCell="A11" workbookViewId="0">
      <selection activeCell="F22" sqref="F22"/>
    </sheetView>
  </sheetViews>
  <sheetFormatPr defaultRowHeight="15" x14ac:dyDescent="0.25"/>
  <cols>
    <col min="1" max="1" width="12" bestFit="1" customWidth="1"/>
    <col min="2" max="2" width="10.7109375" bestFit="1" customWidth="1"/>
    <col min="3" max="3" width="10.42578125" bestFit="1" customWidth="1"/>
    <col min="4" max="4" width="19.28515625" bestFit="1" customWidth="1"/>
    <col min="5" max="5" width="12" bestFit="1" customWidth="1"/>
    <col min="6" max="21" width="10.42578125" bestFit="1" customWidth="1"/>
    <col min="22" max="22" width="11.28515625" bestFit="1" customWidth="1"/>
  </cols>
  <sheetData>
    <row r="3" spans="1:5" x14ac:dyDescent="0.25">
      <c r="A3" s="3" t="s">
        <v>28</v>
      </c>
      <c r="B3" t="s">
        <v>29</v>
      </c>
      <c r="D3" s="3" t="s">
        <v>28</v>
      </c>
      <c r="E3" t="s">
        <v>30</v>
      </c>
    </row>
    <row r="4" spans="1:5" x14ac:dyDescent="0.25">
      <c r="A4" s="4" t="s">
        <v>24</v>
      </c>
      <c r="B4" s="5">
        <v>1014550</v>
      </c>
      <c r="D4" s="4" t="s">
        <v>11</v>
      </c>
      <c r="E4" s="5">
        <v>217</v>
      </c>
    </row>
    <row r="5" spans="1:5" x14ac:dyDescent="0.25">
      <c r="A5" s="4" t="s">
        <v>25</v>
      </c>
      <c r="B5" s="5">
        <v>926100</v>
      </c>
      <c r="D5" s="4" t="s">
        <v>15</v>
      </c>
      <c r="E5" s="5">
        <v>244</v>
      </c>
    </row>
    <row r="6" spans="1:5" x14ac:dyDescent="0.25">
      <c r="A6" s="4" t="s">
        <v>26</v>
      </c>
      <c r="B6" s="5">
        <v>1108400</v>
      </c>
      <c r="D6" s="4" t="s">
        <v>14</v>
      </c>
      <c r="E6" s="5">
        <v>244</v>
      </c>
    </row>
    <row r="7" spans="1:5" x14ac:dyDescent="0.25">
      <c r="A7" s="4" t="s">
        <v>27</v>
      </c>
      <c r="B7" s="5">
        <v>1038900</v>
      </c>
      <c r="D7" s="4" t="s">
        <v>10</v>
      </c>
      <c r="E7" s="5">
        <v>218</v>
      </c>
    </row>
    <row r="8" spans="1:5" x14ac:dyDescent="0.25">
      <c r="A8" s="4" t="s">
        <v>23</v>
      </c>
      <c r="B8" s="5">
        <v>4087950</v>
      </c>
      <c r="D8" s="4" t="s">
        <v>12</v>
      </c>
      <c r="E8" s="5">
        <v>248</v>
      </c>
    </row>
    <row r="9" spans="1:5" x14ac:dyDescent="0.25">
      <c r="D9" s="4" t="s">
        <v>13</v>
      </c>
      <c r="E9" s="5">
        <v>263</v>
      </c>
    </row>
    <row r="10" spans="1:5" x14ac:dyDescent="0.25">
      <c r="A10" s="3" t="s">
        <v>28</v>
      </c>
      <c r="B10" t="s">
        <v>29</v>
      </c>
      <c r="D10" s="4" t="s">
        <v>23</v>
      </c>
      <c r="E10" s="5">
        <v>1434</v>
      </c>
    </row>
    <row r="11" spans="1:5" x14ac:dyDescent="0.25">
      <c r="A11" s="4" t="s">
        <v>17</v>
      </c>
      <c r="B11" s="5">
        <v>1203900</v>
      </c>
    </row>
    <row r="12" spans="1:5" x14ac:dyDescent="0.25">
      <c r="A12" s="4" t="s">
        <v>20</v>
      </c>
      <c r="B12" s="5">
        <v>1340900</v>
      </c>
      <c r="D12" s="3" t="s">
        <v>28</v>
      </c>
      <c r="E12" t="s">
        <v>29</v>
      </c>
    </row>
    <row r="13" spans="1:5" x14ac:dyDescent="0.25">
      <c r="A13" s="4" t="s">
        <v>9</v>
      </c>
      <c r="B13" s="5">
        <v>1543150</v>
      </c>
      <c r="D13" s="4" t="s">
        <v>22</v>
      </c>
      <c r="E13" s="5">
        <v>754950</v>
      </c>
    </row>
    <row r="14" spans="1:5" x14ac:dyDescent="0.25">
      <c r="A14" s="4" t="s">
        <v>23</v>
      </c>
      <c r="B14" s="5">
        <v>4087950</v>
      </c>
      <c r="D14" s="4" t="s">
        <v>16</v>
      </c>
      <c r="E14" s="5">
        <v>593650</v>
      </c>
    </row>
    <row r="15" spans="1:5" x14ac:dyDescent="0.25">
      <c r="D15" s="4" t="s">
        <v>21</v>
      </c>
      <c r="E15" s="5">
        <v>769200</v>
      </c>
    </row>
    <row r="16" spans="1:5" x14ac:dyDescent="0.25">
      <c r="A16" s="3" t="s">
        <v>28</v>
      </c>
      <c r="B16" t="s">
        <v>30</v>
      </c>
      <c r="D16" s="4" t="s">
        <v>19</v>
      </c>
      <c r="E16" s="5">
        <v>585950</v>
      </c>
    </row>
    <row r="17" spans="1:5" x14ac:dyDescent="0.25">
      <c r="A17" s="4" t="s">
        <v>11</v>
      </c>
      <c r="B17" s="5">
        <v>217</v>
      </c>
      <c r="D17" s="4" t="s">
        <v>18</v>
      </c>
      <c r="E17" s="5">
        <v>610250</v>
      </c>
    </row>
    <row r="18" spans="1:5" x14ac:dyDescent="0.25">
      <c r="A18" s="4" t="s">
        <v>15</v>
      </c>
      <c r="B18" s="5">
        <v>244</v>
      </c>
      <c r="D18" s="4" t="s">
        <v>8</v>
      </c>
      <c r="E18" s="5">
        <v>773950</v>
      </c>
    </row>
    <row r="19" spans="1:5" x14ac:dyDescent="0.25">
      <c r="A19" s="4" t="s">
        <v>14</v>
      </c>
      <c r="B19" s="5">
        <v>244</v>
      </c>
      <c r="D19" s="4" t="s">
        <v>23</v>
      </c>
      <c r="E19" s="5">
        <v>4087950</v>
      </c>
    </row>
    <row r="20" spans="1:5" x14ac:dyDescent="0.25">
      <c r="A20" s="4" t="s">
        <v>10</v>
      </c>
      <c r="B20" s="5">
        <v>218</v>
      </c>
    </row>
    <row r="21" spans="1:5" x14ac:dyDescent="0.25">
      <c r="A21" s="4" t="s">
        <v>12</v>
      </c>
      <c r="B21" s="5">
        <v>248</v>
      </c>
    </row>
    <row r="22" spans="1:5" x14ac:dyDescent="0.25">
      <c r="A22" s="4" t="s">
        <v>13</v>
      </c>
      <c r="B22" s="5">
        <v>263</v>
      </c>
    </row>
    <row r="23" spans="1:5" x14ac:dyDescent="0.25">
      <c r="A23" s="4" t="s">
        <v>23</v>
      </c>
      <c r="B23" s="5">
        <v>1434</v>
      </c>
    </row>
    <row r="25" spans="1:5" x14ac:dyDescent="0.25">
      <c r="A25" t="s">
        <v>29</v>
      </c>
    </row>
    <row r="26" spans="1:5" x14ac:dyDescent="0.25">
      <c r="A26" s="5">
        <v>4087950</v>
      </c>
      <c r="B26" s="6">
        <f>GETPIVOTDATA("[Measures].[Sum of Total]",$A$25)</f>
        <v>4087950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CDC88-3E05-48C4-A07D-6FEE6DD44B56}">
  <dimension ref="A1"/>
  <sheetViews>
    <sheetView showGridLine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7A627-7A5A-4B83-90BB-A6EC127F6060}">
  <dimension ref="A1"/>
  <sheetViews>
    <sheetView showGridLine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DASHBOARD</vt:lpstr>
      <vt:lpstr>SELLER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KUMAR</dc:creator>
  <cp:lastModifiedBy>PRINCE KUMAR</cp:lastModifiedBy>
  <dcterms:created xsi:type="dcterms:W3CDTF">2026-03-25T15:48:57Z</dcterms:created>
  <dcterms:modified xsi:type="dcterms:W3CDTF">2026-03-25T18:00:14Z</dcterms:modified>
</cp:coreProperties>
</file>